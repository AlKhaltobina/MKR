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ЭтаКнига"/>
  <bookViews>
    <workbookView xWindow="0" yWindow="0" windowWidth="15510" windowHeight="9600"/>
  </bookViews>
  <sheets>
    <sheet name="Лист1" sheetId="1" r:id="rId1"/>
    <sheet name="Лист2" sheetId="2" r:id="rId2"/>
  </sheet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" i="2"/>
  <c r="I14"/>
  <c r="J14"/>
  <c r="K14"/>
  <c r="L14"/>
  <c r="M14"/>
  <c r="N14"/>
  <c r="O14"/>
  <c r="P14"/>
  <c r="Q14"/>
  <c r="R14"/>
  <c r="S14"/>
  <c r="T14"/>
  <c r="U14"/>
  <c r="V14"/>
  <c r="W14"/>
  <c r="X14"/>
  <c r="Y14"/>
  <c r="Z14"/>
  <c r="AA14"/>
  <c r="AB14"/>
  <c r="AC14"/>
  <c r="AD14"/>
  <c r="AE14"/>
  <c r="AF14"/>
  <c r="AG14"/>
  <c r="AH14"/>
  <c r="AI14"/>
  <c r="H13" l="1"/>
  <c r="I13"/>
  <c r="J13"/>
  <c r="K13"/>
  <c r="L13"/>
  <c r="M13"/>
  <c r="N13"/>
  <c r="O13"/>
  <c r="P13"/>
  <c r="Q13"/>
  <c r="R13"/>
  <c r="S13"/>
  <c r="T13"/>
  <c r="U13"/>
  <c r="V13"/>
  <c r="W13"/>
  <c r="X13"/>
  <c r="Y13"/>
  <c r="Z13"/>
  <c r="AA13"/>
  <c r="AB13"/>
  <c r="AC13"/>
  <c r="AD13"/>
  <c r="AE13"/>
  <c r="AF13"/>
  <c r="AG13"/>
  <c r="AH13"/>
  <c r="AI13"/>
  <c r="F11"/>
  <c r="G14" s="1"/>
  <c r="F14"/>
  <c r="AJ11"/>
  <c r="C3"/>
  <c r="G10" s="1"/>
  <c r="H10" s="1"/>
  <c r="I10" s="1"/>
  <c r="J10" s="1"/>
  <c r="K10" s="1"/>
  <c r="L10" s="1"/>
  <c r="M10" s="1"/>
  <c r="N10" s="1"/>
  <c r="O10" s="1"/>
  <c r="P10" s="1"/>
  <c r="Q10" s="1"/>
  <c r="R10" s="1"/>
  <c r="S10" s="1"/>
  <c r="T10" s="1"/>
  <c r="U10" s="1"/>
  <c r="V10" s="1"/>
  <c r="W10" s="1"/>
  <c r="X10" s="1"/>
  <c r="Y10" s="1"/>
  <c r="Z10" s="1"/>
  <c r="AA10" s="1"/>
  <c r="AB10" s="1"/>
  <c r="AC10" s="1"/>
  <c r="AD10" s="1"/>
  <c r="AE10" s="1"/>
  <c r="AF10" s="1"/>
  <c r="AG10" s="1"/>
  <c r="AH10" s="1"/>
  <c r="AI10" s="1"/>
  <c r="AJ10" s="1"/>
  <c r="G13" i="1"/>
  <c r="H13"/>
  <c r="I13"/>
  <c r="J13"/>
  <c r="K13"/>
  <c r="L13"/>
  <c r="M13"/>
  <c r="N13"/>
  <c r="O13"/>
  <c r="P13"/>
  <c r="Q13"/>
  <c r="R13"/>
  <c r="S13"/>
  <c r="T13"/>
  <c r="U13"/>
  <c r="V13"/>
  <c r="W13"/>
  <c r="X13"/>
  <c r="Y13"/>
  <c r="Z13"/>
  <c r="AA13"/>
  <c r="AB13"/>
  <c r="AC13"/>
  <c r="AD13"/>
  <c r="AE13"/>
  <c r="AF13"/>
  <c r="AG13"/>
  <c r="AH13"/>
  <c r="AI13"/>
  <c r="C4"/>
  <c r="AJ11"/>
  <c r="F11"/>
  <c r="AA10"/>
  <c r="AB10"/>
  <c r="AC10" s="1"/>
  <c r="AD10" s="1"/>
  <c r="AE10" s="1"/>
  <c r="AF10" s="1"/>
  <c r="AG10" s="1"/>
  <c r="AH10" s="1"/>
  <c r="AI10" s="1"/>
  <c r="AJ10" s="1"/>
  <c r="H10"/>
  <c r="I10"/>
  <c r="J10" s="1"/>
  <c r="K10" s="1"/>
  <c r="L10" s="1"/>
  <c r="M10" s="1"/>
  <c r="N10" s="1"/>
  <c r="O10" s="1"/>
  <c r="P10" s="1"/>
  <c r="Q10" s="1"/>
  <c r="R10" s="1"/>
  <c r="S10" s="1"/>
  <c r="T10" s="1"/>
  <c r="U10" s="1"/>
  <c r="V10" s="1"/>
  <c r="W10" s="1"/>
  <c r="X10" s="1"/>
  <c r="Y10" s="1"/>
  <c r="Z10" s="1"/>
  <c r="G10"/>
  <c r="C3"/>
  <c r="G13" i="2" l="1"/>
  <c r="C4"/>
</calcChain>
</file>

<file path=xl/sharedStrings.xml><?xml version="1.0" encoding="utf-8"?>
<sst xmlns="http://schemas.openxmlformats.org/spreadsheetml/2006/main" count="25" uniqueCount="13">
  <si>
    <t>L</t>
  </si>
  <si>
    <t>dx</t>
  </si>
  <si>
    <t>dt</t>
  </si>
  <si>
    <t>t</t>
  </si>
  <si>
    <t>Cp</t>
  </si>
  <si>
    <t>ro</t>
  </si>
  <si>
    <t>T_start</t>
  </si>
  <si>
    <t>T_end</t>
  </si>
  <si>
    <t>T</t>
  </si>
  <si>
    <t>T_i</t>
  </si>
  <si>
    <t>q</t>
  </si>
  <si>
    <t>q_start</t>
  </si>
  <si>
    <t>lamda</t>
  </si>
</sst>
</file>

<file path=xl/styles.xml><?xml version="1.0" encoding="utf-8"?>
<styleSheet xmlns="http://schemas.openxmlformats.org/spreadsheetml/2006/main">
  <numFmts count="1">
    <numFmt numFmtId="166" formatCode="0.0000"/>
  </numFmts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166" fontId="0" fillId="0" borderId="1" xfId="0" applyNumberFormat="1" applyBorder="1"/>
    <xf numFmtId="166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0.11848176575264945"/>
          <c:y val="0.10366892685513272"/>
          <c:w val="0.8428605738474314"/>
          <c:h val="0.80603230440114393"/>
        </c:manualLayout>
      </c:layout>
      <c:scatterChart>
        <c:scatterStyle val="smoothMarker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Лист1!$F$10:$AJ$10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Лист1!$F$11:$AJ$11</c:f>
              <c:numCache>
                <c:formatCode>0.0000</c:formatCode>
                <c:ptCount val="31"/>
                <c:pt idx="0">
                  <c:v>300</c:v>
                </c:pt>
                <c:pt idx="1">
                  <c:v>292.44847762710549</c:v>
                </c:pt>
                <c:pt idx="2">
                  <c:v>284.91629244247372</c:v>
                </c:pt>
                <c:pt idx="3">
                  <c:v>277.38410725784195</c:v>
                </c:pt>
                <c:pt idx="4">
                  <c:v>269.90908834269158</c:v>
                </c:pt>
                <c:pt idx="5">
                  <c:v>262.43406942754126</c:v>
                </c:pt>
                <c:pt idx="6">
                  <c:v>255.05154694957568</c:v>
                </c:pt>
                <c:pt idx="7">
                  <c:v>247.66902447161016</c:v>
                </c:pt>
                <c:pt idx="8">
                  <c:v>240.41028536314482</c:v>
                </c:pt>
                <c:pt idx="9">
                  <c:v>233.1515462546796</c:v>
                </c:pt>
                <c:pt idx="10">
                  <c:v>226.04246672011647</c:v>
                </c:pt>
                <c:pt idx="11">
                  <c:v>218.93338718555344</c:v>
                </c:pt>
                <c:pt idx="12">
                  <c:v>211.99330182207473</c:v>
                </c:pt>
                <c:pt idx="13">
                  <c:v>205.05321645859607</c:v>
                </c:pt>
                <c:pt idx="14">
                  <c:v>198.29407340887906</c:v>
                </c:pt>
                <c:pt idx="15">
                  <c:v>191.53493035916213</c:v>
                </c:pt>
                <c:pt idx="16">
                  <c:v>184.96076939105239</c:v>
                </c:pt>
                <c:pt idx="17">
                  <c:v>178.38660842294274</c:v>
                </c:pt>
                <c:pt idx="18">
                  <c:v>171.99338469967731</c:v>
                </c:pt>
                <c:pt idx="19">
                  <c:v>165.60016097641193</c:v>
                </c:pt>
                <c:pt idx="20">
                  <c:v>159.37592216285793</c:v>
                </c:pt>
                <c:pt idx="21">
                  <c:v>153.15168334930394</c:v>
                </c:pt>
                <c:pt idx="22">
                  <c:v>147.07709225719915</c:v>
                </c:pt>
                <c:pt idx="23">
                  <c:v>141.00250116509437</c:v>
                </c:pt>
                <c:pt idx="24">
                  <c:v>135.05168104835363</c:v>
                </c:pt>
                <c:pt idx="25">
                  <c:v>129.10086093161289</c:v>
                </c:pt>
                <c:pt idx="26">
                  <c:v>123.24252645929619</c:v>
                </c:pt>
                <c:pt idx="27">
                  <c:v>117.38419198697949</c:v>
                </c:pt>
                <c:pt idx="28">
                  <c:v>111.58301645892544</c:v>
                </c:pt>
                <c:pt idx="29">
                  <c:v>105.7818409308714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85B-4991-B09E-2EEDF3AA1ED3}"/>
            </c:ext>
          </c:extLst>
        </c:ser>
        <c:dLbls/>
        <c:axId val="134357376"/>
        <c:axId val="134358912"/>
      </c:scatterChart>
      <c:valAx>
        <c:axId val="134357376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4358912"/>
        <c:crosses val="autoZero"/>
        <c:crossBetween val="midCat"/>
      </c:valAx>
      <c:valAx>
        <c:axId val="134358912"/>
        <c:scaling>
          <c:orientation val="minMax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4357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0.11848176575264945"/>
          <c:y val="0.10366892685513272"/>
          <c:w val="0.8428605738474314"/>
          <c:h val="0.80603230440114393"/>
        </c:manualLayout>
      </c:layout>
      <c:scatterChart>
        <c:scatterStyle val="smoothMarker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Лист1!$F$10:$AJ$10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Лист1!$F$11:$AJ$11</c:f>
              <c:numCache>
                <c:formatCode>0.0000</c:formatCode>
                <c:ptCount val="31"/>
                <c:pt idx="0">
                  <c:v>300</c:v>
                </c:pt>
                <c:pt idx="1">
                  <c:v>292.44847762710549</c:v>
                </c:pt>
                <c:pt idx="2">
                  <c:v>284.91629244247372</c:v>
                </c:pt>
                <c:pt idx="3">
                  <c:v>277.38410725784195</c:v>
                </c:pt>
                <c:pt idx="4">
                  <c:v>269.90908834269158</c:v>
                </c:pt>
                <c:pt idx="5">
                  <c:v>262.43406942754126</c:v>
                </c:pt>
                <c:pt idx="6">
                  <c:v>255.05154694957568</c:v>
                </c:pt>
                <c:pt idx="7">
                  <c:v>247.66902447161016</c:v>
                </c:pt>
                <c:pt idx="8">
                  <c:v>240.41028536314482</c:v>
                </c:pt>
                <c:pt idx="9">
                  <c:v>233.1515462546796</c:v>
                </c:pt>
                <c:pt idx="10">
                  <c:v>226.04246672011647</c:v>
                </c:pt>
                <c:pt idx="11">
                  <c:v>218.93338718555344</c:v>
                </c:pt>
                <c:pt idx="12">
                  <c:v>211.99330182207473</c:v>
                </c:pt>
                <c:pt idx="13">
                  <c:v>205.05321645859607</c:v>
                </c:pt>
                <c:pt idx="14">
                  <c:v>198.29407340887906</c:v>
                </c:pt>
                <c:pt idx="15">
                  <c:v>191.53493035916213</c:v>
                </c:pt>
                <c:pt idx="16">
                  <c:v>184.96076939105239</c:v>
                </c:pt>
                <c:pt idx="17">
                  <c:v>178.38660842294274</c:v>
                </c:pt>
                <c:pt idx="18">
                  <c:v>171.99338469967731</c:v>
                </c:pt>
                <c:pt idx="19">
                  <c:v>165.60016097641193</c:v>
                </c:pt>
                <c:pt idx="20">
                  <c:v>159.37592216285793</c:v>
                </c:pt>
                <c:pt idx="21">
                  <c:v>153.15168334930394</c:v>
                </c:pt>
                <c:pt idx="22">
                  <c:v>147.07709225719915</c:v>
                </c:pt>
                <c:pt idx="23">
                  <c:v>141.00250116509437</c:v>
                </c:pt>
                <c:pt idx="24">
                  <c:v>135.05168104835363</c:v>
                </c:pt>
                <c:pt idx="25">
                  <c:v>129.10086093161289</c:v>
                </c:pt>
                <c:pt idx="26">
                  <c:v>123.24252645929619</c:v>
                </c:pt>
                <c:pt idx="27">
                  <c:v>117.38419198697949</c:v>
                </c:pt>
                <c:pt idx="28">
                  <c:v>111.58301645892544</c:v>
                </c:pt>
                <c:pt idx="29">
                  <c:v>105.7818409308714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85A-4F4F-B36A-C52F805CCC6A}"/>
            </c:ext>
          </c:extLst>
        </c:ser>
        <c:dLbls/>
        <c:axId val="138925568"/>
        <c:axId val="138927104"/>
      </c:scatterChart>
      <c:valAx>
        <c:axId val="138925568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8927104"/>
        <c:crosses val="autoZero"/>
        <c:crossBetween val="midCat"/>
      </c:valAx>
      <c:valAx>
        <c:axId val="138927104"/>
        <c:scaling>
          <c:orientation val="minMax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8925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11</xdr:col>
      <xdr:colOff>18617</xdr:colOff>
      <xdr:row>18</xdr:row>
      <xdr:rowOff>31750</xdr:rowOff>
    </xdr:from>
    <xdr:ext cx="489383" cy="219163"/>
    <xdr:sp macro="" textlink="">
      <xdr:nvSpPr>
        <xdr:cNvPr id="3" name="TextBox 2"/>
        <xdr:cNvSpPr txBox="1"/>
      </xdr:nvSpPr>
      <xdr:spPr>
        <a:xfrm>
          <a:off x="6834284" y="3460750"/>
          <a:ext cx="489383" cy="21916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r>
            <a:rPr lang="en-US" sz="1400" b="0" i="0">
              <a:latin typeface="Cambria Math" panose="02040503050406030204" pitchFamily="18" charset="0"/>
            </a:rPr>
            <a:t>𝑇, [𝐶]</a:t>
          </a:r>
          <a:endParaRPr lang="ru-RU" sz="1400"/>
        </a:p>
      </xdr:txBody>
    </xdr:sp>
    <xdr:clientData/>
  </xdr:oneCellAnchor>
  <xdr:oneCellAnchor>
    <xdr:from>
      <xdr:col>20</xdr:col>
      <xdr:colOff>379660</xdr:colOff>
      <xdr:row>37</xdr:row>
      <xdr:rowOff>74083</xdr:rowOff>
    </xdr:from>
    <xdr:ext cx="467007" cy="219163"/>
    <xdr:sp macro="" textlink="">
      <xdr:nvSpPr>
        <xdr:cNvPr id="4" name="TextBox 3"/>
        <xdr:cNvSpPr txBox="1"/>
      </xdr:nvSpPr>
      <xdr:spPr>
        <a:xfrm>
          <a:off x="12815077" y="7122583"/>
          <a:ext cx="467007" cy="21916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r>
            <a:rPr lang="en-US" sz="1400" b="0" i="0">
              <a:latin typeface="Cambria Math" panose="02040503050406030204" pitchFamily="18" charset="0"/>
            </a:rPr>
            <a:t>𝐿,𝑚</a:t>
          </a:r>
          <a:endParaRPr lang="ru-RU" sz="14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11</xdr:col>
      <xdr:colOff>14649</xdr:colOff>
      <xdr:row>17</xdr:row>
      <xdr:rowOff>166688</xdr:rowOff>
    </xdr:from>
    <xdr:ext cx="497321" cy="219163"/>
    <xdr:sp macro="" textlink="">
      <xdr:nvSpPr>
        <xdr:cNvPr id="3" name="TextBox 2"/>
        <xdr:cNvSpPr txBox="1"/>
      </xdr:nvSpPr>
      <xdr:spPr>
        <a:xfrm>
          <a:off x="6967899" y="3405188"/>
          <a:ext cx="497321" cy="21916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r>
            <a:rPr lang="en-US" sz="1400" b="0" i="0">
              <a:latin typeface="Cambria Math" panose="02040503050406030204" pitchFamily="18" charset="0"/>
            </a:rPr>
            <a:t>𝑇, [𝐶]</a:t>
          </a:r>
          <a:endParaRPr lang="ru-RU" sz="1400"/>
        </a:p>
      </xdr:txBody>
    </xdr:sp>
    <xdr:clientData/>
  </xdr:oneCellAnchor>
  <xdr:oneCellAnchor>
    <xdr:from>
      <xdr:col>20</xdr:col>
      <xdr:colOff>427285</xdr:colOff>
      <xdr:row>37</xdr:row>
      <xdr:rowOff>59531</xdr:rowOff>
    </xdr:from>
    <xdr:ext cx="429965" cy="219163"/>
    <xdr:sp macro="" textlink="">
      <xdr:nvSpPr>
        <xdr:cNvPr id="4" name="TextBox 3"/>
        <xdr:cNvSpPr txBox="1"/>
      </xdr:nvSpPr>
      <xdr:spPr>
        <a:xfrm>
          <a:off x="12952660" y="7108031"/>
          <a:ext cx="429965" cy="21916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r>
            <a:rPr lang="en-US" sz="1400" b="0" i="0">
              <a:latin typeface="Cambria Math" panose="02040503050406030204" pitchFamily="18" charset="0"/>
            </a:rPr>
            <a:t>𝐿,𝑚</a:t>
          </a:r>
          <a:r>
            <a:rPr lang="ru-RU" sz="1400" b="0" i="0">
              <a:latin typeface="Cambria Math" panose="02040503050406030204" pitchFamily="18" charset="0"/>
            </a:rPr>
            <a:t>2</a:t>
          </a:r>
          <a:endParaRPr lang="ru-RU" sz="1400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2:AJ13"/>
  <sheetViews>
    <sheetView tabSelected="1" zoomScale="90" zoomScaleNormal="90" workbookViewId="0">
      <selection activeCell="AL11" sqref="AL11"/>
    </sheetView>
  </sheetViews>
  <sheetFormatPr defaultRowHeight="15"/>
  <cols>
    <col min="6" max="36" width="9.28515625" bestFit="1" customWidth="1"/>
  </cols>
  <sheetData>
    <row r="2" spans="2:36">
      <c r="B2" s="1" t="s">
        <v>0</v>
      </c>
      <c r="C2" s="1">
        <v>0.1</v>
      </c>
    </row>
    <row r="3" spans="2:36">
      <c r="B3" s="1" t="s">
        <v>1</v>
      </c>
      <c r="C3" s="1">
        <f>C2/30</f>
        <v>3.3333333333333335E-3</v>
      </c>
    </row>
    <row r="4" spans="2:36">
      <c r="B4" s="1" t="s">
        <v>2</v>
      </c>
      <c r="C4" s="1">
        <f>(C7*C8*C3^2)/(2*C9)</f>
        <v>0.4333333333333334</v>
      </c>
    </row>
    <row r="5" spans="2:36">
      <c r="B5" s="1" t="s">
        <v>3</v>
      </c>
      <c r="C5" s="1">
        <v>620</v>
      </c>
      <c r="D5">
        <v>620.43333333333328</v>
      </c>
    </row>
    <row r="7" spans="2:36">
      <c r="B7" s="1" t="s">
        <v>4</v>
      </c>
      <c r="C7" s="1">
        <v>460</v>
      </c>
    </row>
    <row r="8" spans="2:36">
      <c r="B8" s="1" t="s">
        <v>5</v>
      </c>
      <c r="C8" s="1">
        <v>7800</v>
      </c>
    </row>
    <row r="9" spans="2:36">
      <c r="B9" s="1" t="s">
        <v>12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36">
      <c r="E10" t="s">
        <v>0</v>
      </c>
      <c r="F10" s="2">
        <v>0</v>
      </c>
      <c r="G10" s="2">
        <f>F10+$C$3</f>
        <v>3.3333333333333335E-3</v>
      </c>
      <c r="H10" s="2">
        <f t="shared" ref="H10:AJ10" si="0">G10+$C$3</f>
        <v>6.6666666666666671E-3</v>
      </c>
      <c r="I10" s="2">
        <f t="shared" si="0"/>
        <v>0.01</v>
      </c>
      <c r="J10" s="2">
        <f t="shared" si="0"/>
        <v>1.3333333333333334E-2</v>
      </c>
      <c r="K10" s="2">
        <f t="shared" si="0"/>
        <v>1.6666666666666666E-2</v>
      </c>
      <c r="L10" s="2">
        <f t="shared" si="0"/>
        <v>0.02</v>
      </c>
      <c r="M10" s="2">
        <f t="shared" si="0"/>
        <v>2.3333333333333334E-2</v>
      </c>
      <c r="N10" s="2">
        <f t="shared" si="0"/>
        <v>2.6666666666666668E-2</v>
      </c>
      <c r="O10" s="2">
        <f t="shared" si="0"/>
        <v>3.0000000000000002E-2</v>
      </c>
      <c r="P10" s="2">
        <f t="shared" si="0"/>
        <v>3.3333333333333333E-2</v>
      </c>
      <c r="Q10" s="2">
        <f t="shared" si="0"/>
        <v>3.6666666666666667E-2</v>
      </c>
      <c r="R10" s="2">
        <f t="shared" si="0"/>
        <v>0.04</v>
      </c>
      <c r="S10" s="2">
        <f t="shared" si="0"/>
        <v>4.3333333333333335E-2</v>
      </c>
      <c r="T10" s="2">
        <f t="shared" si="0"/>
        <v>4.6666666666666669E-2</v>
      </c>
      <c r="U10" s="2">
        <f t="shared" si="0"/>
        <v>0.05</v>
      </c>
      <c r="V10" s="2">
        <f t="shared" si="0"/>
        <v>5.3333333333333337E-2</v>
      </c>
      <c r="W10" s="2">
        <f t="shared" si="0"/>
        <v>5.6666666666666671E-2</v>
      </c>
      <c r="X10" s="2">
        <f t="shared" si="0"/>
        <v>6.0000000000000005E-2</v>
      </c>
      <c r="Y10" s="2">
        <f t="shared" si="0"/>
        <v>6.3333333333333339E-2</v>
      </c>
      <c r="Z10" s="2">
        <f t="shared" si="0"/>
        <v>6.6666666666666666E-2</v>
      </c>
      <c r="AA10" s="2">
        <f>Z10+$C$3</f>
        <v>6.9999999999999993E-2</v>
      </c>
      <c r="AB10" s="2">
        <f t="shared" si="0"/>
        <v>7.333333333333332E-2</v>
      </c>
      <c r="AC10" s="2">
        <f t="shared" si="0"/>
        <v>7.6666666666666647E-2</v>
      </c>
      <c r="AD10" s="2">
        <f t="shared" si="0"/>
        <v>7.9999999999999974E-2</v>
      </c>
      <c r="AE10" s="2">
        <f t="shared" si="0"/>
        <v>8.3333333333333301E-2</v>
      </c>
      <c r="AF10" s="2">
        <f t="shared" si="0"/>
        <v>8.6666666666666628E-2</v>
      </c>
      <c r="AG10" s="2">
        <f t="shared" si="0"/>
        <v>8.9999999999999955E-2</v>
      </c>
      <c r="AH10" s="2">
        <f t="shared" si="0"/>
        <v>9.3333333333333282E-2</v>
      </c>
      <c r="AI10" s="2">
        <f t="shared" si="0"/>
        <v>9.6666666666666609E-2</v>
      </c>
      <c r="AJ10" s="2">
        <f t="shared" si="0"/>
        <v>9.9999999999999936E-2</v>
      </c>
    </row>
    <row r="11" spans="2:36">
      <c r="B11" s="1" t="s">
        <v>6</v>
      </c>
      <c r="C11" s="1">
        <v>300</v>
      </c>
      <c r="E11" t="s">
        <v>8</v>
      </c>
      <c r="F11" s="3">
        <f>C11</f>
        <v>300</v>
      </c>
      <c r="G11" s="3">
        <v>292.44847762710549</v>
      </c>
      <c r="H11" s="3">
        <v>284.91629244247372</v>
      </c>
      <c r="I11" s="3">
        <v>277.38410725784195</v>
      </c>
      <c r="J11" s="3">
        <v>269.90908834269158</v>
      </c>
      <c r="K11" s="3">
        <v>262.43406942754126</v>
      </c>
      <c r="L11" s="3">
        <v>255.05154694957568</v>
      </c>
      <c r="M11" s="3">
        <v>247.66902447161016</v>
      </c>
      <c r="N11" s="3">
        <v>240.41028536314482</v>
      </c>
      <c r="O11" s="3">
        <v>233.1515462546796</v>
      </c>
      <c r="P11" s="3">
        <v>226.04246672011647</v>
      </c>
      <c r="Q11" s="3">
        <v>218.93338718555344</v>
      </c>
      <c r="R11" s="3">
        <v>211.99330182207473</v>
      </c>
      <c r="S11" s="3">
        <v>205.05321645859607</v>
      </c>
      <c r="T11" s="3">
        <v>198.29407340887906</v>
      </c>
      <c r="U11" s="3">
        <v>191.53493035916213</v>
      </c>
      <c r="V11" s="3">
        <v>184.96076939105239</v>
      </c>
      <c r="W11" s="3">
        <v>178.38660842294274</v>
      </c>
      <c r="X11" s="3">
        <v>171.99338469967731</v>
      </c>
      <c r="Y11" s="3">
        <v>165.60016097641193</v>
      </c>
      <c r="Z11" s="3">
        <v>159.37592216285793</v>
      </c>
      <c r="AA11" s="3">
        <v>153.15168334930394</v>
      </c>
      <c r="AB11" s="3">
        <v>147.07709225719915</v>
      </c>
      <c r="AC11" s="3">
        <v>141.00250116509437</v>
      </c>
      <c r="AD11" s="3">
        <v>135.05168104835363</v>
      </c>
      <c r="AE11" s="3">
        <v>129.10086093161289</v>
      </c>
      <c r="AF11" s="3">
        <v>123.24252645929619</v>
      </c>
      <c r="AG11" s="3">
        <v>117.38419198697949</v>
      </c>
      <c r="AH11" s="3">
        <v>111.58301645892544</v>
      </c>
      <c r="AI11" s="3">
        <v>105.7818409308714</v>
      </c>
      <c r="AJ11" s="3">
        <f>C12</f>
        <v>100</v>
      </c>
    </row>
    <row r="12" spans="2:36">
      <c r="B12" s="1" t="s">
        <v>7</v>
      </c>
      <c r="C12" s="1">
        <v>100</v>
      </c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</row>
    <row r="13" spans="2:36">
      <c r="E13" t="s">
        <v>9</v>
      </c>
      <c r="F13" s="3"/>
      <c r="G13" s="3">
        <f>G11+(($C$9*$C$4)/($C$8*$C$7))*((H11-2*G11+F11)/($C$3^2))</f>
        <v>292.45814622123686</v>
      </c>
      <c r="H13" s="3">
        <f t="shared" ref="H13:AI13" si="1">H11+(($C$9*$C$4)/($C$8*$C$7))*((I11-2*H11+G11)/($C$3^2))</f>
        <v>284.91629244247372</v>
      </c>
      <c r="I13" s="3">
        <f t="shared" si="1"/>
        <v>277.41269039258265</v>
      </c>
      <c r="J13" s="3">
        <f t="shared" si="1"/>
        <v>269.90908834269158</v>
      </c>
      <c r="K13" s="3">
        <f t="shared" si="1"/>
        <v>262.48031764613364</v>
      </c>
      <c r="L13" s="3">
        <f t="shared" si="1"/>
        <v>255.05154694957571</v>
      </c>
      <c r="M13" s="3">
        <f t="shared" si="1"/>
        <v>247.73091615636025</v>
      </c>
      <c r="N13" s="3">
        <f t="shared" si="1"/>
        <v>240.41028536314488</v>
      </c>
      <c r="O13" s="3">
        <f t="shared" si="1"/>
        <v>233.22637604163066</v>
      </c>
      <c r="P13" s="3">
        <f t="shared" si="1"/>
        <v>226.04246672011652</v>
      </c>
      <c r="Q13" s="3">
        <f t="shared" si="1"/>
        <v>219.0178842710956</v>
      </c>
      <c r="R13" s="3">
        <f t="shared" si="1"/>
        <v>211.99330182207476</v>
      </c>
      <c r="S13" s="3">
        <f t="shared" si="1"/>
        <v>205.14368761547689</v>
      </c>
      <c r="T13" s="3">
        <f t="shared" si="1"/>
        <v>198.29407340887911</v>
      </c>
      <c r="U13" s="3">
        <f t="shared" si="1"/>
        <v>191.62742139996573</v>
      </c>
      <c r="V13" s="3">
        <f t="shared" si="1"/>
        <v>184.96076939105245</v>
      </c>
      <c r="W13" s="3">
        <f t="shared" si="1"/>
        <v>178.47707704536487</v>
      </c>
      <c r="X13" s="3">
        <f t="shared" si="1"/>
        <v>171.99338469967734</v>
      </c>
      <c r="Y13" s="3">
        <f t="shared" si="1"/>
        <v>165.68465343126763</v>
      </c>
      <c r="Z13" s="3">
        <f t="shared" si="1"/>
        <v>159.37592216285793</v>
      </c>
      <c r="AA13" s="3">
        <f t="shared" si="1"/>
        <v>153.22650721002856</v>
      </c>
      <c r="AB13" s="3">
        <f t="shared" si="1"/>
        <v>147.07709225719915</v>
      </c>
      <c r="AC13" s="3">
        <f t="shared" si="1"/>
        <v>141.06438665277639</v>
      </c>
      <c r="AD13" s="3">
        <f t="shared" si="1"/>
        <v>135.05168104835363</v>
      </c>
      <c r="AE13" s="3">
        <f t="shared" si="1"/>
        <v>129.14710375382492</v>
      </c>
      <c r="AF13" s="3">
        <f t="shared" si="1"/>
        <v>123.24252645929619</v>
      </c>
      <c r="AG13" s="3">
        <f t="shared" si="1"/>
        <v>117.41277145911081</v>
      </c>
      <c r="AH13" s="3">
        <f t="shared" si="1"/>
        <v>111.58301645892544</v>
      </c>
      <c r="AI13" s="3">
        <f t="shared" si="1"/>
        <v>105.79150822946272</v>
      </c>
      <c r="AJ13" s="3"/>
    </row>
  </sheetData>
  <conditionalFormatting sqref="F11:AJ11">
    <cfRule type="colorScale" priority="1">
      <colorScale>
        <cfvo type="min" val="0"/>
        <cfvo type="percentile" val="50"/>
        <cfvo type="max" val="0"/>
        <color rgb="FF0070C0"/>
        <color rgb="FFFFEB84"/>
        <color rgb="FFFF0000"/>
      </colorScale>
    </cfRule>
  </conditionalFormatting>
  <pageMargins left="0.7" right="0.7" top="0.75" bottom="0.75" header="0.3" footer="0.3"/>
  <pageSetup paperSize="270" orientation="landscape" horizontalDpi="30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B2:AJ14"/>
  <sheetViews>
    <sheetView zoomScale="80" zoomScaleNormal="80" workbookViewId="0">
      <selection activeCell="AL12" sqref="AL12"/>
    </sheetView>
  </sheetViews>
  <sheetFormatPr defaultRowHeight="15"/>
  <cols>
    <col min="6" max="6" width="9.28515625" bestFit="1" customWidth="1"/>
    <col min="7" max="7" width="12.28515625" bestFit="1" customWidth="1"/>
    <col min="8" max="36" width="9.28515625" bestFit="1" customWidth="1"/>
  </cols>
  <sheetData>
    <row r="2" spans="2:36">
      <c r="B2" s="1" t="s">
        <v>0</v>
      </c>
      <c r="C2" s="1">
        <v>0.1</v>
      </c>
    </row>
    <row r="3" spans="2:36">
      <c r="B3" s="1" t="s">
        <v>1</v>
      </c>
      <c r="C3" s="1">
        <f>C2/30</f>
        <v>3.3333333333333335E-3</v>
      </c>
    </row>
    <row r="4" spans="2:36">
      <c r="B4" s="1" t="s">
        <v>2</v>
      </c>
      <c r="C4" s="1">
        <f>(C7*C8*C3^2)/(2*C9)</f>
        <v>0.4333333333333334</v>
      </c>
    </row>
    <row r="5" spans="2:36">
      <c r="B5" s="1" t="s">
        <v>3</v>
      </c>
      <c r="C5" s="1">
        <v>5000</v>
      </c>
      <c r="D5">
        <v>5000.4333333333334</v>
      </c>
    </row>
    <row r="7" spans="2:36">
      <c r="B7" s="1" t="s">
        <v>4</v>
      </c>
      <c r="C7" s="1">
        <v>460</v>
      </c>
    </row>
    <row r="8" spans="2:36">
      <c r="B8" s="1" t="s">
        <v>5</v>
      </c>
      <c r="C8" s="1">
        <v>7800</v>
      </c>
    </row>
    <row r="9" spans="2:36">
      <c r="B9" s="1" t="s">
        <v>12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36">
      <c r="E10" t="s">
        <v>0</v>
      </c>
      <c r="F10" s="2">
        <v>0</v>
      </c>
      <c r="G10" s="2">
        <f>F10+$C$3</f>
        <v>3.3333333333333335E-3</v>
      </c>
      <c r="H10" s="2">
        <f t="shared" ref="H10:AJ10" si="0">G10+$C$3</f>
        <v>6.6666666666666671E-3</v>
      </c>
      <c r="I10" s="2">
        <f t="shared" si="0"/>
        <v>0.01</v>
      </c>
      <c r="J10" s="2">
        <f t="shared" si="0"/>
        <v>1.3333333333333334E-2</v>
      </c>
      <c r="K10" s="2">
        <f t="shared" si="0"/>
        <v>1.6666666666666666E-2</v>
      </c>
      <c r="L10" s="2">
        <f t="shared" si="0"/>
        <v>0.02</v>
      </c>
      <c r="M10" s="2">
        <f t="shared" si="0"/>
        <v>2.3333333333333334E-2</v>
      </c>
      <c r="N10" s="2">
        <f t="shared" si="0"/>
        <v>2.6666666666666668E-2</v>
      </c>
      <c r="O10" s="2">
        <f t="shared" si="0"/>
        <v>3.0000000000000002E-2</v>
      </c>
      <c r="P10" s="2">
        <f t="shared" si="0"/>
        <v>3.3333333333333333E-2</v>
      </c>
      <c r="Q10" s="2">
        <f t="shared" si="0"/>
        <v>3.6666666666666667E-2</v>
      </c>
      <c r="R10" s="2">
        <f t="shared" si="0"/>
        <v>0.04</v>
      </c>
      <c r="S10" s="2">
        <f t="shared" si="0"/>
        <v>4.3333333333333335E-2</v>
      </c>
      <c r="T10" s="2">
        <f t="shared" si="0"/>
        <v>4.6666666666666669E-2</v>
      </c>
      <c r="U10" s="2">
        <f t="shared" si="0"/>
        <v>0.05</v>
      </c>
      <c r="V10" s="2">
        <f t="shared" si="0"/>
        <v>5.3333333333333337E-2</v>
      </c>
      <c r="W10" s="2">
        <f t="shared" si="0"/>
        <v>5.6666666666666671E-2</v>
      </c>
      <c r="X10" s="2">
        <f t="shared" si="0"/>
        <v>6.0000000000000005E-2</v>
      </c>
      <c r="Y10" s="2">
        <f t="shared" si="0"/>
        <v>6.3333333333333339E-2</v>
      </c>
      <c r="Z10" s="2">
        <f t="shared" si="0"/>
        <v>6.6666666666666666E-2</v>
      </c>
      <c r="AA10" s="2">
        <f>Z10+$C$3</f>
        <v>6.9999999999999993E-2</v>
      </c>
      <c r="AB10" s="2">
        <f t="shared" si="0"/>
        <v>7.333333333333332E-2</v>
      </c>
      <c r="AC10" s="2">
        <f t="shared" si="0"/>
        <v>7.6666666666666647E-2</v>
      </c>
      <c r="AD10" s="2">
        <f t="shared" si="0"/>
        <v>7.9999999999999974E-2</v>
      </c>
      <c r="AE10" s="2">
        <f t="shared" si="0"/>
        <v>8.3333333333333301E-2</v>
      </c>
      <c r="AF10" s="2">
        <f t="shared" si="0"/>
        <v>8.6666666666666628E-2</v>
      </c>
      <c r="AG10" s="2">
        <f t="shared" si="0"/>
        <v>8.9999999999999955E-2</v>
      </c>
      <c r="AH10" s="2">
        <f t="shared" si="0"/>
        <v>9.3333333333333282E-2</v>
      </c>
      <c r="AI10" s="2">
        <f t="shared" si="0"/>
        <v>9.6666666666666609E-2</v>
      </c>
      <c r="AJ10" s="2">
        <f t="shared" si="0"/>
        <v>9.9999999999999936E-2</v>
      </c>
    </row>
    <row r="11" spans="2:36">
      <c r="B11" s="1" t="s">
        <v>11</v>
      </c>
      <c r="C11" s="1">
        <v>92000</v>
      </c>
      <c r="E11" t="s">
        <v>8</v>
      </c>
      <c r="F11" s="3">
        <f>(F14/C9)*C3+G11</f>
        <v>299.76152995395427</v>
      </c>
      <c r="G11" s="3">
        <v>293.09486328728758</v>
      </c>
      <c r="H11" s="3">
        <v>286.42887258987537</v>
      </c>
      <c r="I11" s="3">
        <v>279.76355594560931</v>
      </c>
      <c r="J11" s="3">
        <v>273.09890952770422</v>
      </c>
      <c r="K11" s="3">
        <v>266.43492760954553</v>
      </c>
      <c r="L11" s="3">
        <v>259.77160258092186</v>
      </c>
      <c r="M11" s="3">
        <v>253.1089249695971</v>
      </c>
      <c r="N11" s="3">
        <v>246.44688346816059</v>
      </c>
      <c r="O11" s="3">
        <v>239.78546496607885</v>
      </c>
      <c r="P11" s="3">
        <v>233.12465458685932</v>
      </c>
      <c r="Q11" s="3">
        <v>226.46443573021875</v>
      </c>
      <c r="R11" s="3">
        <v>219.80479011913943</v>
      </c>
      <c r="S11" s="3">
        <v>213.14569785167603</v>
      </c>
      <c r="T11" s="3">
        <v>206.4871374573716</v>
      </c>
      <c r="U11" s="3">
        <v>199.82908595811583</v>
      </c>
      <c r="V11" s="3">
        <v>193.17151893328128</v>
      </c>
      <c r="W11" s="3">
        <v>186.51441058894395</v>
      </c>
      <c r="X11" s="3">
        <v>179.85773383100135</v>
      </c>
      <c r="Y11" s="3">
        <v>173.20146034197114</v>
      </c>
      <c r="Z11" s="3">
        <v>166.54556066126284</v>
      </c>
      <c r="AA11" s="3">
        <v>159.89000426868424</v>
      </c>
      <c r="AB11" s="3">
        <v>153.23475967095703</v>
      </c>
      <c r="AC11" s="3">
        <v>146.57979449098519</v>
      </c>
      <c r="AD11" s="3">
        <v>139.925075559634</v>
      </c>
      <c r="AE11" s="3">
        <v>133.27056900974901</v>
      </c>
      <c r="AF11" s="3">
        <v>126.61624037215859</v>
      </c>
      <c r="AG11" s="3">
        <v>119.96205467337839</v>
      </c>
      <c r="AH11" s="3">
        <v>113.30797653474929</v>
      </c>
      <c r="AI11" s="3">
        <v>106.65397027272058</v>
      </c>
      <c r="AJ11" s="3">
        <f>C12</f>
        <v>100</v>
      </c>
    </row>
    <row r="12" spans="2:36">
      <c r="B12" s="1" t="s">
        <v>7</v>
      </c>
      <c r="C12" s="1">
        <v>100</v>
      </c>
    </row>
    <row r="13" spans="2:36">
      <c r="E13" t="s">
        <v>9</v>
      </c>
      <c r="G13" s="3">
        <f>G11+(($C$9*$C$4)/($C$8*$C$7))*((H11-2*G11+F11)/($C$3^2))</f>
        <v>293.09520127191479</v>
      </c>
      <c r="H13">
        <f t="shared" ref="H13:AI13" si="1">H11+(($C$9*$C$4)/($C$8*$C$7))*((I11-2*H11+G11)/($C$3^2))</f>
        <v>286.42920961644847</v>
      </c>
      <c r="I13">
        <f t="shared" si="1"/>
        <v>279.7638910587898</v>
      </c>
      <c r="J13">
        <f t="shared" si="1"/>
        <v>273.09924177757739</v>
      </c>
      <c r="K13">
        <f t="shared" si="1"/>
        <v>266.43525605431307</v>
      </c>
      <c r="L13">
        <f t="shared" si="1"/>
        <v>259.7719262895713</v>
      </c>
      <c r="M13">
        <f t="shared" si="1"/>
        <v>253.10924302454123</v>
      </c>
      <c r="N13">
        <f t="shared" si="1"/>
        <v>246.44719496783796</v>
      </c>
      <c r="O13">
        <f t="shared" si="1"/>
        <v>239.78576902750996</v>
      </c>
      <c r="P13">
        <f t="shared" si="1"/>
        <v>233.12495034814879</v>
      </c>
      <c r="Q13">
        <f t="shared" si="1"/>
        <v>226.46472235299939</v>
      </c>
      <c r="R13">
        <f t="shared" si="1"/>
        <v>219.80506679094739</v>
      </c>
      <c r="S13">
        <f t="shared" si="1"/>
        <v>213.14596378825553</v>
      </c>
      <c r="T13">
        <f t="shared" si="1"/>
        <v>206.48739190489593</v>
      </c>
      <c r="U13">
        <f t="shared" si="1"/>
        <v>199.82932819532644</v>
      </c>
      <c r="V13">
        <f t="shared" si="1"/>
        <v>193.17174827352989</v>
      </c>
      <c r="W13">
        <f t="shared" si="1"/>
        <v>186.51462638214133</v>
      </c>
      <c r="X13">
        <f t="shared" si="1"/>
        <v>179.85793546545756</v>
      </c>
      <c r="Y13">
        <f t="shared" si="1"/>
        <v>173.2016472461321</v>
      </c>
      <c r="Z13">
        <f t="shared" si="1"/>
        <v>166.5457323053277</v>
      </c>
      <c r="AA13">
        <f t="shared" si="1"/>
        <v>159.89016016610992</v>
      </c>
      <c r="AB13">
        <f t="shared" si="1"/>
        <v>153.2348993798347</v>
      </c>
      <c r="AC13">
        <f t="shared" si="1"/>
        <v>146.57991761529553</v>
      </c>
      <c r="AD13">
        <f t="shared" si="1"/>
        <v>139.9251817503671</v>
      </c>
      <c r="AE13">
        <f t="shared" si="1"/>
        <v>133.27065796589631</v>
      </c>
      <c r="AF13">
        <f t="shared" si="1"/>
        <v>126.6163118415637</v>
      </c>
      <c r="AG13">
        <f t="shared" si="1"/>
        <v>119.96210845345394</v>
      </c>
      <c r="AH13">
        <f t="shared" si="1"/>
        <v>113.30801247304949</v>
      </c>
      <c r="AI13">
        <f t="shared" si="1"/>
        <v>106.65398826737464</v>
      </c>
    </row>
    <row r="14" spans="2:36">
      <c r="E14" t="s">
        <v>10</v>
      </c>
      <c r="F14">
        <f>C11</f>
        <v>92000</v>
      </c>
      <c r="G14">
        <f>-$C$9*((G11-F11)/$C$3)</f>
        <v>92000.000000000247</v>
      </c>
      <c r="H14">
        <f t="shared" ref="H14:AI14" si="2">-$C$9*((H11-G11)/$C$3)</f>
        <v>91990.671624288516</v>
      </c>
      <c r="I14">
        <f t="shared" si="2"/>
        <v>91981.369690871565</v>
      </c>
      <c r="J14">
        <f t="shared" si="2"/>
        <v>91972.120567090227</v>
      </c>
      <c r="K14">
        <f t="shared" si="2"/>
        <v>91962.950470590018</v>
      </c>
      <c r="L14">
        <f t="shared" si="2"/>
        <v>91953.885395006495</v>
      </c>
      <c r="M14">
        <f t="shared" si="2"/>
        <v>91944.951036281782</v>
      </c>
      <c r="N14">
        <f t="shared" si="2"/>
        <v>91936.172719823764</v>
      </c>
      <c r="O14">
        <f t="shared" si="2"/>
        <v>91927.575328728068</v>
      </c>
      <c r="P14">
        <f t="shared" si="2"/>
        <v>91919.183233229458</v>
      </c>
      <c r="Q14">
        <f t="shared" si="2"/>
        <v>91911.020221639847</v>
      </c>
      <c r="R14">
        <f t="shared" si="2"/>
        <v>91903.109432894707</v>
      </c>
      <c r="S14">
        <f t="shared" si="2"/>
        <v>91895.473290994807</v>
      </c>
      <c r="T14">
        <f t="shared" si="2"/>
        <v>91888.133441401136</v>
      </c>
      <c r="U14">
        <f t="shared" si="2"/>
        <v>91881.110689729714</v>
      </c>
      <c r="V14">
        <f t="shared" si="2"/>
        <v>91874.424942716767</v>
      </c>
      <c r="W14">
        <f t="shared" si="2"/>
        <v>91868.095151855159</v>
      </c>
      <c r="X14">
        <f t="shared" si="2"/>
        <v>91862.139259607749</v>
      </c>
      <c r="Y14">
        <f t="shared" si="2"/>
        <v>91856.574148616928</v>
      </c>
      <c r="Z14">
        <f t="shared" si="2"/>
        <v>91851.415593774567</v>
      </c>
      <c r="AA14">
        <f t="shared" si="2"/>
        <v>91846.678217584718</v>
      </c>
      <c r="AB14">
        <f t="shared" si="2"/>
        <v>91842.375448635416</v>
      </c>
      <c r="AC14">
        <f t="shared" si="2"/>
        <v>91838.519483611366</v>
      </c>
      <c r="AD14">
        <f t="shared" si="2"/>
        <v>91835.121252646524</v>
      </c>
      <c r="AE14">
        <f t="shared" si="2"/>
        <v>91832.190388412797</v>
      </c>
      <c r="AF14">
        <f t="shared" si="2"/>
        <v>91829.735198747847</v>
      </c>
      <c r="AG14">
        <f t="shared" si="2"/>
        <v>91827.762643166701</v>
      </c>
      <c r="AH14">
        <f t="shared" si="2"/>
        <v>91826.27831308161</v>
      </c>
      <c r="AI14">
        <f t="shared" si="2"/>
        <v>91825.286415996074</v>
      </c>
    </row>
  </sheetData>
  <conditionalFormatting sqref="F11:AJ11">
    <cfRule type="colorScale" priority="1">
      <colorScale>
        <cfvo type="min" val="0"/>
        <cfvo type="percentile" val="50"/>
        <cfvo type="max" val="0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>SPecialiST RePack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Chstep</dc:creator>
  <cp:lastModifiedBy>Пользователь Windows</cp:lastModifiedBy>
  <dcterms:created xsi:type="dcterms:W3CDTF">2021-03-20T15:25:01Z</dcterms:created>
  <dcterms:modified xsi:type="dcterms:W3CDTF">2021-03-20T20:11:50Z</dcterms:modified>
</cp:coreProperties>
</file>