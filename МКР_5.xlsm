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120" yWindow="105" windowWidth="15120" windowHeight="8010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Q14" i="1"/>
  <c r="Q13"/>
  <c r="Q17" s="1"/>
  <c r="Q18" s="1"/>
  <c r="P13"/>
  <c r="P17" s="1"/>
  <c r="P18" s="1"/>
  <c r="O13"/>
  <c r="N13"/>
  <c r="M13"/>
  <c r="M17" s="1"/>
  <c r="M18" s="1"/>
  <c r="L13"/>
  <c r="L17" s="1"/>
  <c r="L18" s="1"/>
  <c r="K13"/>
  <c r="J13"/>
  <c r="I13"/>
  <c r="I17" s="1"/>
  <c r="I18" s="1"/>
  <c r="H13"/>
  <c r="H17" s="1"/>
  <c r="H18" s="1"/>
  <c r="Q4"/>
  <c r="G4"/>
  <c r="C4"/>
  <c r="H3"/>
  <c r="I3" s="1"/>
  <c r="J2"/>
  <c r="K2" s="1"/>
  <c r="L2" s="1"/>
  <c r="M2" s="1"/>
  <c r="N2" s="1"/>
  <c r="O2" s="1"/>
  <c r="P2" s="1"/>
  <c r="Q2" s="1"/>
  <c r="I2"/>
  <c r="H2"/>
  <c r="Q10" l="1"/>
  <c r="J3"/>
  <c r="I4"/>
  <c r="I10" s="1"/>
  <c r="K17"/>
  <c r="K18" s="1"/>
  <c r="K19" s="1"/>
  <c r="O17"/>
  <c r="O18" s="1"/>
  <c r="O19" s="1"/>
  <c r="I19"/>
  <c r="M19"/>
  <c r="Q19"/>
  <c r="J17"/>
  <c r="J18" s="1"/>
  <c r="J19" s="1"/>
  <c r="N17"/>
  <c r="N18" s="1"/>
  <c r="N19" s="1"/>
  <c r="H19"/>
  <c r="L19"/>
  <c r="P19"/>
  <c r="H4"/>
  <c r="G13" l="1"/>
  <c r="H10"/>
  <c r="H11" s="1"/>
  <c r="H14" s="1"/>
  <c r="J4"/>
  <c r="J10" s="1"/>
  <c r="K3"/>
  <c r="I11" l="1"/>
  <c r="I14" s="1"/>
  <c r="L3"/>
  <c r="K4"/>
  <c r="K10" s="1"/>
  <c r="J11" s="1"/>
  <c r="J14" s="1"/>
  <c r="G14"/>
  <c r="G17"/>
  <c r="G18" s="1"/>
  <c r="G19" s="1"/>
  <c r="G10"/>
  <c r="G11" s="1"/>
  <c r="M3" l="1"/>
  <c r="L4"/>
  <c r="L10" s="1"/>
  <c r="N3" l="1"/>
  <c r="M4"/>
  <c r="M10" s="1"/>
  <c r="L11" s="1"/>
  <c r="L14" s="1"/>
  <c r="K11"/>
  <c r="K14" s="1"/>
  <c r="N4" l="1"/>
  <c r="N10" s="1"/>
  <c r="O3"/>
  <c r="P3" l="1"/>
  <c r="P4" s="1"/>
  <c r="P10" s="1"/>
  <c r="P11" s="1"/>
  <c r="P14" s="1"/>
  <c r="O4"/>
  <c r="O10" s="1"/>
  <c r="M11"/>
  <c r="M14" s="1"/>
  <c r="O11" l="1"/>
  <c r="O14" s="1"/>
  <c r="N11"/>
  <c r="N14" s="1"/>
</calcChain>
</file>

<file path=xl/sharedStrings.xml><?xml version="1.0" encoding="utf-8"?>
<sst xmlns="http://schemas.openxmlformats.org/spreadsheetml/2006/main" count="24" uniqueCount="19">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</sst>
</file>

<file path=xl/styles.xml><?xml version="1.0" encoding="utf-8"?>
<styleSheet xmlns="http://schemas.openxmlformats.org/spreadsheetml/2006/main">
  <numFmts count="4">
    <numFmt numFmtId="164" formatCode="0.000"/>
    <numFmt numFmtId="165" formatCode="0.00000"/>
    <numFmt numFmtId="166" formatCode="0.0"/>
    <numFmt numFmtId="167" formatCode="0.0000"/>
  </numFmts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1" fontId="0" fillId="0" borderId="1" xfId="0" applyNumberFormat="1" applyBorder="1"/>
    <xf numFmtId="2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0" fontId="0" fillId="0" borderId="0" xfId="0" applyFill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803E-2"/>
          <c:y val="3.2407407407407433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7"/>
          <c:w val="0.80502367875226044"/>
          <c:h val="0.72088764946048456"/>
        </c:manualLayout>
      </c:layout>
      <c:lineChart>
        <c:grouping val="standard"/>
        <c:ser>
          <c:idx val="0"/>
          <c:order val="0"/>
          <c:tx>
            <c:strRef>
              <c:f>[1]Лист1!$F$3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[1]Лист1!$G$3:$Q$3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99217792"/>
        <c:axId val="99219328"/>
      </c:lineChart>
      <c:catAx>
        <c:axId val="9921779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219328"/>
        <c:crosses val="autoZero"/>
        <c:auto val="1"/>
        <c:lblAlgn val="ctr"/>
        <c:lblOffset val="100"/>
      </c:catAx>
      <c:valAx>
        <c:axId val="9921932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21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38E-2"/>
          <c:y val="2.777777777777782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82E-2"/>
          <c:y val="0.17171296296296307"/>
          <c:w val="0.71851618547681495"/>
          <c:h val="0.72088764946048456"/>
        </c:manualLayout>
      </c:layout>
      <c:lineChart>
        <c:grouping val="standard"/>
        <c:ser>
          <c:idx val="1"/>
          <c:order val="0"/>
          <c:tx>
            <c:strRef>
              <c:f>[1]Лист1!$F$10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[1]Лист1!$G$10:$Q$10</c:f>
              <c:numCache>
                <c:formatCode>General</c:formatCode>
                <c:ptCount val="11"/>
                <c:pt idx="0">
                  <c:v>1.3682813061830692</c:v>
                </c:pt>
                <c:pt idx="1">
                  <c:v>1.3682812930146351</c:v>
                </c:pt>
                <c:pt idx="2">
                  <c:v>1.3682805599902417</c:v>
                </c:pt>
                <c:pt idx="3">
                  <c:v>1.3682797254371233</c:v>
                </c:pt>
                <c:pt idx="4">
                  <c:v>1.3682788615292099</c:v>
                </c:pt>
                <c:pt idx="5">
                  <c:v>1.368278043116046</c:v>
                </c:pt>
                <c:pt idx="6">
                  <c:v>1.3682773403715991</c:v>
                </c:pt>
                <c:pt idx="7">
                  <c:v>1.3682768081169407</c:v>
                </c:pt>
                <c:pt idx="8">
                  <c:v>1.3682764725631917</c:v>
                </c:pt>
                <c:pt idx="9">
                  <c:v>1.3682763187334843</c:v>
                </c:pt>
                <c:pt idx="10">
                  <c:v>1.3682762862335076</c:v>
                </c:pt>
              </c:numCache>
            </c:numRef>
          </c:val>
        </c:ser>
        <c:ser>
          <c:idx val="0"/>
          <c:order val="1"/>
          <c:tx>
            <c:strRef>
              <c:f>[1]Лист1!$F$10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[1]Лист1!$G$10:$Q$10</c:f>
              <c:numCache>
                <c:formatCode>General</c:formatCode>
                <c:ptCount val="11"/>
                <c:pt idx="0">
                  <c:v>1.3682813061830692</c:v>
                </c:pt>
                <c:pt idx="1">
                  <c:v>1.3682812930146351</c:v>
                </c:pt>
                <c:pt idx="2">
                  <c:v>1.3682805599902417</c:v>
                </c:pt>
                <c:pt idx="3">
                  <c:v>1.3682797254371233</c:v>
                </c:pt>
                <c:pt idx="4">
                  <c:v>1.3682788615292099</c:v>
                </c:pt>
                <c:pt idx="5">
                  <c:v>1.368278043116046</c:v>
                </c:pt>
                <c:pt idx="6">
                  <c:v>1.3682773403715991</c:v>
                </c:pt>
                <c:pt idx="7">
                  <c:v>1.3682768081169407</c:v>
                </c:pt>
                <c:pt idx="8">
                  <c:v>1.3682764725631917</c:v>
                </c:pt>
                <c:pt idx="9">
                  <c:v>1.3682763187334843</c:v>
                </c:pt>
                <c:pt idx="10">
                  <c:v>1.3682762862335076</c:v>
                </c:pt>
              </c:numCache>
            </c:numRef>
          </c:val>
        </c:ser>
        <c:marker val="1"/>
        <c:axId val="133286144"/>
        <c:axId val="133292032"/>
      </c:lineChart>
      <c:catAx>
        <c:axId val="13328614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292032"/>
        <c:crosses val="autoZero"/>
        <c:auto val="1"/>
        <c:lblAlgn val="ctr"/>
        <c:lblOffset val="100"/>
      </c:catAx>
      <c:valAx>
        <c:axId val="13329203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28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6E-2"/>
          <c:y val="2.3148148148148147E-2"/>
        </c:manualLayout>
      </c:layout>
      <c:spPr>
        <a:noFill/>
        <a:ln>
          <a:noFill/>
        </a:ln>
        <a:effectLst/>
      </c:spPr>
    </c:title>
    <c:plotArea>
      <c:layout/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[1]Лист1!$G$6:$Q$6</c:f>
              <c:numCache>
                <c:formatCode>General</c:formatCode>
                <c:ptCount val="11"/>
                <c:pt idx="0">
                  <c:v>133045.91812666616</c:v>
                </c:pt>
                <c:pt idx="1">
                  <c:v>132578.09378669562</c:v>
                </c:pt>
                <c:pt idx="2">
                  <c:v>131967.58117050573</c:v>
                </c:pt>
                <c:pt idx="3">
                  <c:v>131158.82647224542</c:v>
                </c:pt>
                <c:pt idx="4">
                  <c:v>130069.33168357579</c:v>
                </c:pt>
                <c:pt idx="5">
                  <c:v>128573.62849765351</c:v>
                </c:pt>
                <c:pt idx="6">
                  <c:v>126475.693592638</c:v>
                </c:pt>
                <c:pt idx="7">
                  <c:v>123459.75094141666</c:v>
                </c:pt>
                <c:pt idx="8">
                  <c:v>118998.90366367337</c:v>
                </c:pt>
                <c:pt idx="9">
                  <c:v>112177.34053610377</c:v>
                </c:pt>
                <c:pt idx="10">
                  <c:v>101325</c:v>
                </c:pt>
              </c:numCache>
            </c:numRef>
          </c:val>
        </c:ser>
        <c:marker val="1"/>
        <c:axId val="133147648"/>
        <c:axId val="133161728"/>
      </c:lineChart>
      <c:catAx>
        <c:axId val="13314764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161728"/>
        <c:crosses val="autoZero"/>
        <c:auto val="1"/>
        <c:lblAlgn val="ctr"/>
        <c:lblOffset val="100"/>
      </c:catAx>
      <c:valAx>
        <c:axId val="133161728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147648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949E-4"/>
          <c:y val="2.777777777777782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493775899152129"/>
          <c:y val="0.19486111111111121"/>
          <c:w val="0.74507174103237095"/>
          <c:h val="0.72088764946048456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[1]Лист1!$G$2:$Q$2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[1]Лист1!$G$13:$Q$13</c:f>
              <c:numCache>
                <c:formatCode>General</c:formatCode>
                <c:ptCount val="11"/>
                <c:pt idx="0">
                  <c:v>57.428463454449002</c:v>
                </c:pt>
                <c:pt idx="1">
                  <c:v>63.632645874519106</c:v>
                </c:pt>
                <c:pt idx="2">
                  <c:v>70.899298933099445</c:v>
                </c:pt>
                <c:pt idx="3">
                  <c:v>79.485670738520582</c:v>
                </c:pt>
                <c:pt idx="4">
                  <c:v>89.731813827022691</c:v>
                </c:pt>
                <c:pt idx="5">
                  <c:v>102.09480266574042</c:v>
                </c:pt>
                <c:pt idx="6">
                  <c:v>117.20060613147547</c:v>
                </c:pt>
                <c:pt idx="7">
                  <c:v>135.92491044978658</c:v>
                </c:pt>
                <c:pt idx="8">
                  <c:v>159.52294605952173</c:v>
                </c:pt>
                <c:pt idx="9">
                  <c:v>189.84546818183216</c:v>
                </c:pt>
                <c:pt idx="10">
                  <c:v>229.71301104375931</c:v>
                </c:pt>
              </c:numCache>
            </c:numRef>
          </c:val>
        </c:ser>
        <c:marker val="1"/>
        <c:axId val="132923776"/>
        <c:axId val="132925312"/>
      </c:lineChart>
      <c:catAx>
        <c:axId val="13292377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925312"/>
        <c:crosses val="autoZero"/>
        <c:auto val="1"/>
        <c:lblAlgn val="ctr"/>
        <c:lblOffset val="100"/>
      </c:catAx>
      <c:valAx>
        <c:axId val="13292531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92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284629</xdr:colOff>
      <xdr:row>50</xdr:row>
      <xdr:rowOff>129708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ownloads/&#1053;&#1072;&#1083;&#1077;&#1090;&#1086;&#107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Лист1"/>
      <sheetName val="Налетов"/>
    </sheet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3">
          <cell r="F3" t="str">
            <v>R</v>
          </cell>
          <cell r="G3">
            <v>0.08</v>
          </cell>
          <cell r="H3">
            <v>7.5999999999999998E-2</v>
          </cell>
          <cell r="I3">
            <v>7.1999999999999995E-2</v>
          </cell>
          <cell r="J3">
            <v>6.7999999999999991E-2</v>
          </cell>
          <cell r="K3">
            <v>6.3999999999999987E-2</v>
          </cell>
          <cell r="L3">
            <v>5.9999999999999984E-2</v>
          </cell>
          <cell r="M3">
            <v>5.599999999999998E-2</v>
          </cell>
          <cell r="N3">
            <v>5.1999999999999977E-2</v>
          </cell>
          <cell r="O3">
            <v>4.7999999999999973E-2</v>
          </cell>
          <cell r="P3">
            <v>4.399999999999997E-2</v>
          </cell>
          <cell r="Q3">
            <v>0.04</v>
          </cell>
        </row>
        <row r="6">
          <cell r="G6">
            <v>133045.91812666616</v>
          </cell>
          <cell r="H6">
            <v>132578.09378669562</v>
          </cell>
          <cell r="I6">
            <v>131967.58117050573</v>
          </cell>
          <cell r="J6">
            <v>131158.82647224542</v>
          </cell>
          <cell r="K6">
            <v>130069.33168357579</v>
          </cell>
          <cell r="L6">
            <v>128573.62849765351</v>
          </cell>
          <cell r="M6">
            <v>126475.693592638</v>
          </cell>
          <cell r="N6">
            <v>123459.75094141666</v>
          </cell>
          <cell r="O6">
            <v>118998.90366367337</v>
          </cell>
          <cell r="P6">
            <v>112177.34053610377</v>
          </cell>
          <cell r="Q6">
            <v>101325</v>
          </cell>
        </row>
        <row r="10">
          <cell r="F10" t="str">
            <v>G</v>
          </cell>
          <cell r="G10">
            <v>1.3682813061830692</v>
          </cell>
          <cell r="H10">
            <v>1.3682812930146351</v>
          </cell>
          <cell r="I10">
            <v>1.3682805599902417</v>
          </cell>
          <cell r="J10">
            <v>1.3682797254371233</v>
          </cell>
          <cell r="K10">
            <v>1.3682788615292099</v>
          </cell>
          <cell r="L10">
            <v>1.368278043116046</v>
          </cell>
          <cell r="M10">
            <v>1.3682773403715991</v>
          </cell>
          <cell r="N10">
            <v>1.3682768081169407</v>
          </cell>
          <cell r="O10">
            <v>1.3682764725631917</v>
          </cell>
          <cell r="P10">
            <v>1.3682763187334843</v>
          </cell>
          <cell r="Q10">
            <v>1.3682762862335076</v>
          </cell>
        </row>
        <row r="13">
          <cell r="G13">
            <v>57.428463454449002</v>
          </cell>
          <cell r="H13">
            <v>63.632645874519106</v>
          </cell>
          <cell r="I13">
            <v>70.899298933099445</v>
          </cell>
          <cell r="J13">
            <v>79.485670738520582</v>
          </cell>
          <cell r="K13">
            <v>89.731813827022691</v>
          </cell>
          <cell r="L13">
            <v>102.09480266574042</v>
          </cell>
          <cell r="M13">
            <v>117.20060613147547</v>
          </cell>
          <cell r="N13">
            <v>135.92491044978658</v>
          </cell>
          <cell r="O13">
            <v>159.52294605952173</v>
          </cell>
          <cell r="P13">
            <v>189.84546818183216</v>
          </cell>
          <cell r="Q13">
            <v>229.71301104375931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Q23"/>
  <sheetViews>
    <sheetView tabSelected="1" zoomScale="80" zoomScaleNormal="80" workbookViewId="0">
      <selection activeCell="G5" sqref="G5:Q7"/>
    </sheetView>
  </sheetViews>
  <sheetFormatPr defaultRowHeight="15"/>
  <sheetData>
    <row r="1" spans="2:17">
      <c r="F1" s="1" t="s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>
      <c r="F2" s="1" t="s">
        <v>1</v>
      </c>
      <c r="G2" s="1">
        <v>0</v>
      </c>
      <c r="H2" s="1">
        <f>G2+$C$4</f>
        <v>0.01</v>
      </c>
      <c r="I2" s="1">
        <f t="shared" ref="I2:Q2" si="0">H2+$C$4</f>
        <v>0.02</v>
      </c>
      <c r="J2" s="1">
        <f t="shared" si="0"/>
        <v>0.03</v>
      </c>
      <c r="K2" s="1">
        <f t="shared" si="0"/>
        <v>0.04</v>
      </c>
      <c r="L2" s="1">
        <f t="shared" si="0"/>
        <v>0.05</v>
      </c>
      <c r="M2" s="1">
        <f t="shared" si="0"/>
        <v>6.0000000000000005E-2</v>
      </c>
      <c r="N2" s="1">
        <f t="shared" si="0"/>
        <v>7.0000000000000007E-2</v>
      </c>
      <c r="O2" s="1">
        <f t="shared" si="0"/>
        <v>0.08</v>
      </c>
      <c r="P2" s="1">
        <f t="shared" si="0"/>
        <v>0.09</v>
      </c>
      <c r="Q2" s="1">
        <f t="shared" si="0"/>
        <v>9.9999999999999992E-2</v>
      </c>
    </row>
    <row r="3" spans="2:17">
      <c r="B3" s="1" t="s">
        <v>2</v>
      </c>
      <c r="C3" s="1">
        <v>0.1</v>
      </c>
      <c r="F3" s="1" t="s">
        <v>3</v>
      </c>
      <c r="G3" s="1">
        <v>0.08</v>
      </c>
      <c r="H3" s="1">
        <f>G3+($Q$3-$G$3)/10</f>
        <v>7.5999999999999998E-2</v>
      </c>
      <c r="I3" s="1">
        <f t="shared" ref="I3:P3" si="1">H3+($Q$3-$G$3)/10</f>
        <v>7.1999999999999995E-2</v>
      </c>
      <c r="J3" s="1">
        <f t="shared" si="1"/>
        <v>6.7999999999999991E-2</v>
      </c>
      <c r="K3" s="1">
        <f t="shared" si="1"/>
        <v>6.3999999999999987E-2</v>
      </c>
      <c r="L3" s="1">
        <f t="shared" si="1"/>
        <v>5.9999999999999984E-2</v>
      </c>
      <c r="M3" s="1">
        <f t="shared" si="1"/>
        <v>5.599999999999998E-2</v>
      </c>
      <c r="N3" s="1">
        <f t="shared" si="1"/>
        <v>5.1999999999999977E-2</v>
      </c>
      <c r="O3" s="1">
        <f t="shared" si="1"/>
        <v>4.7999999999999973E-2</v>
      </c>
      <c r="P3" s="1">
        <f t="shared" si="1"/>
        <v>4.399999999999997E-2</v>
      </c>
      <c r="Q3" s="1">
        <v>0.04</v>
      </c>
    </row>
    <row r="4" spans="2:17">
      <c r="B4" s="1" t="s">
        <v>4</v>
      </c>
      <c r="C4" s="1">
        <f>C3/10</f>
        <v>0.01</v>
      </c>
      <c r="F4" s="1" t="s">
        <v>5</v>
      </c>
      <c r="G4" s="2">
        <f>(PI()*(2*G3)^2)/4</f>
        <v>2.0106192982974676E-2</v>
      </c>
      <c r="H4" s="2">
        <f t="shared" ref="H4:Q4" si="2">(PI()*(2*H3)^2)/4</f>
        <v>1.8145839167134643E-2</v>
      </c>
      <c r="I4" s="2">
        <f t="shared" si="2"/>
        <v>1.6286016316209486E-2</v>
      </c>
      <c r="J4" s="2">
        <f t="shared" si="2"/>
        <v>1.4526724430199199E-2</v>
      </c>
      <c r="K4" s="2">
        <f t="shared" si="2"/>
        <v>1.2867963509103787E-2</v>
      </c>
      <c r="L4" s="2">
        <f t="shared" si="2"/>
        <v>1.1309733552923249E-2</v>
      </c>
      <c r="M4" s="2">
        <f t="shared" si="2"/>
        <v>9.8520345616575841E-3</v>
      </c>
      <c r="N4" s="2">
        <f t="shared" si="2"/>
        <v>8.4948665353067939E-3</v>
      </c>
      <c r="O4" s="2">
        <f t="shared" si="2"/>
        <v>7.2382294738708754E-3</v>
      </c>
      <c r="P4" s="2">
        <f t="shared" si="2"/>
        <v>6.0821233773498311E-3</v>
      </c>
      <c r="Q4" s="2">
        <f t="shared" si="2"/>
        <v>5.0265482457436689E-3</v>
      </c>
    </row>
    <row r="5" spans="2:17">
      <c r="F5" s="1" t="s">
        <v>6</v>
      </c>
      <c r="G5" s="1">
        <v>57.428247815495276</v>
      </c>
      <c r="H5" s="1">
        <v>63.632407553329642</v>
      </c>
      <c r="I5" s="1">
        <v>70.899071473500427</v>
      </c>
      <c r="J5" s="1">
        <v>79.485464314014749</v>
      </c>
      <c r="K5" s="1">
        <v>89.731637551679597</v>
      </c>
      <c r="L5" s="1">
        <v>102.09466326876516</v>
      </c>
      <c r="M5" s="1">
        <v>117.20050638999463</v>
      </c>
      <c r="N5" s="1">
        <v>135.92484771406393</v>
      </c>
      <c r="O5" s="1">
        <v>159.52291159410603</v>
      </c>
      <c r="P5" s="1">
        <v>189.84544852372764</v>
      </c>
      <c r="Q5" s="1">
        <v>229.71299271211683</v>
      </c>
    </row>
    <row r="6" spans="2:17">
      <c r="B6" s="1" t="s">
        <v>7</v>
      </c>
      <c r="C6" s="1">
        <v>1.4</v>
      </c>
      <c r="F6" s="1" t="s">
        <v>8</v>
      </c>
      <c r="G6" s="1">
        <v>133045.93283905892</v>
      </c>
      <c r="H6" s="1">
        <v>132578.11187798594</v>
      </c>
      <c r="I6" s="1">
        <v>131967.60020402723</v>
      </c>
      <c r="J6" s="1">
        <v>131158.84549904455</v>
      </c>
      <c r="K6" s="1">
        <v>130069.34950344001</v>
      </c>
      <c r="L6" s="1">
        <v>128573.64375034472</v>
      </c>
      <c r="M6" s="1">
        <v>126475.70498119869</v>
      </c>
      <c r="N6" s="1">
        <v>123459.75763808114</v>
      </c>
      <c r="O6" s="1">
        <v>118998.90588610945</v>
      </c>
      <c r="P6" s="1">
        <v>112177.34007186849</v>
      </c>
      <c r="Q6" s="1">
        <v>101325</v>
      </c>
    </row>
    <row r="7" spans="2:17">
      <c r="B7" s="1" t="s">
        <v>3</v>
      </c>
      <c r="C7" s="1">
        <v>286.97199999999998</v>
      </c>
      <c r="F7" s="1" t="s">
        <v>9</v>
      </c>
      <c r="G7" s="1">
        <v>1.1850000000000001</v>
      </c>
      <c r="H7" s="1">
        <v>1.1850000000000001</v>
      </c>
      <c r="I7" s="1">
        <v>1.1850000000000001</v>
      </c>
      <c r="J7" s="1">
        <v>1.1850000000000001</v>
      </c>
      <c r="K7" s="1">
        <v>1.1850000000000001</v>
      </c>
      <c r="L7" s="1">
        <v>1.1850000000000001</v>
      </c>
      <c r="M7" s="1">
        <v>1.1850000000000001</v>
      </c>
      <c r="N7" s="1">
        <v>1.1850000000000001</v>
      </c>
      <c r="O7" s="1">
        <v>1.1850000000000001</v>
      </c>
      <c r="P7" s="1">
        <v>1.1850000000000001</v>
      </c>
      <c r="Q7" s="1">
        <v>1.1850000000000001</v>
      </c>
    </row>
    <row r="8" spans="2:17">
      <c r="B8" s="1" t="s">
        <v>10</v>
      </c>
      <c r="C8" s="1">
        <v>1004.4</v>
      </c>
    </row>
    <row r="10" spans="2:17">
      <c r="B10" s="1" t="s">
        <v>11</v>
      </c>
      <c r="C10" s="1">
        <v>135000</v>
      </c>
      <c r="F10" s="1" t="s">
        <v>12</v>
      </c>
      <c r="G10" s="2">
        <f>G4*G7*G13</f>
        <v>1.3682761684371358</v>
      </c>
      <c r="H10" s="2">
        <f>H4*H7*H13</f>
        <v>1.3682761684700493</v>
      </c>
      <c r="I10" s="2">
        <f t="shared" ref="I10:Q10" si="3">I4*I7*I13</f>
        <v>1.3682761702920374</v>
      </c>
      <c r="J10" s="2">
        <f t="shared" si="3"/>
        <v>1.3682761720342433</v>
      </c>
      <c r="K10" s="2">
        <f t="shared" si="3"/>
        <v>1.3682761736059943</v>
      </c>
      <c r="L10" s="2">
        <f t="shared" si="3"/>
        <v>1.3682761749255312</v>
      </c>
      <c r="M10" s="2">
        <f t="shared" si="3"/>
        <v>1.3682761759315196</v>
      </c>
      <c r="N10" s="2">
        <f t="shared" si="3"/>
        <v>1.3682761765973341</v>
      </c>
      <c r="O10" s="2">
        <f t="shared" si="3"/>
        <v>1.3682761769449565</v>
      </c>
      <c r="P10" s="2">
        <f t="shared" si="3"/>
        <v>1.368276177052272</v>
      </c>
      <c r="Q10" s="2">
        <f t="shared" si="3"/>
        <v>1.3682761770425353</v>
      </c>
    </row>
    <row r="11" spans="2:17">
      <c r="B11" s="1" t="s">
        <v>13</v>
      </c>
      <c r="C11" s="1">
        <v>288.16000000000003</v>
      </c>
      <c r="F11" s="1" t="s">
        <v>14</v>
      </c>
      <c r="G11" s="3">
        <f>(G13)*(G10-H10)</f>
        <v>-1.8901617483742652E-9</v>
      </c>
      <c r="H11" s="3">
        <f t="shared" ref="H11:P11" si="4">(H13)*(H10-I10)</f>
        <v>-1.1593749035331148E-7</v>
      </c>
      <c r="I11" s="3">
        <f t="shared" si="4"/>
        <v>-1.2352078311491269E-7</v>
      </c>
      <c r="J11" s="3">
        <f t="shared" si="4"/>
        <v>-1.2493135417702222E-7</v>
      </c>
      <c r="K11" s="3">
        <f t="shared" si="4"/>
        <v>-1.1840420901735083E-7</v>
      </c>
      <c r="L11" s="3">
        <f t="shared" si="4"/>
        <v>-1.0270604732801383E-7</v>
      </c>
      <c r="M11" s="3">
        <f t="shared" si="4"/>
        <v>-7.8033798277271012E-8</v>
      </c>
      <c r="N11" s="3">
        <f t="shared" si="4"/>
        <v>-4.7250518428825533E-8</v>
      </c>
      <c r="O11" s="3">
        <f t="shared" si="4"/>
        <v>-1.7119279396519365E-8</v>
      </c>
      <c r="P11" s="3">
        <f t="shared" si="4"/>
        <v>1.8484598113868858E-9</v>
      </c>
      <c r="Q11" s="3">
        <v>0</v>
      </c>
    </row>
    <row r="12" spans="2:17">
      <c r="B12" s="1" t="s">
        <v>8</v>
      </c>
      <c r="C12" s="1">
        <v>101325</v>
      </c>
    </row>
    <row r="13" spans="2:17">
      <c r="F13" s="1" t="s">
        <v>6</v>
      </c>
      <c r="G13" s="1">
        <f>(H4*H5*H7)/(G4*G7)</f>
        <v>57.428247816880003</v>
      </c>
      <c r="H13" s="1">
        <f>((G6-H6)/H7+G5*H5)^0.5</f>
        <v>63.632407554860308</v>
      </c>
      <c r="I13" s="1">
        <f t="shared" ref="I13:Q13" si="5">((H6-I6)/I7+H5*I5)^0.5</f>
        <v>70.899071474978413</v>
      </c>
      <c r="J13" s="1">
        <f t="shared" si="5"/>
        <v>79.485464315370351</v>
      </c>
      <c r="K13" s="1">
        <f t="shared" si="5"/>
        <v>89.731637552849094</v>
      </c>
      <c r="L13" s="1">
        <f t="shared" si="5"/>
        <v>102.09466326969959</v>
      </c>
      <c r="M13" s="1">
        <f t="shared" si="5"/>
        <v>117.20050639067065</v>
      </c>
      <c r="N13" s="1">
        <f t="shared" si="5"/>
        <v>135.92484771449395</v>
      </c>
      <c r="O13" s="1">
        <f t="shared" si="5"/>
        <v>159.52291159434401</v>
      </c>
      <c r="P13" s="1">
        <f t="shared" si="5"/>
        <v>189.84544852386125</v>
      </c>
      <c r="Q13" s="1">
        <f t="shared" si="5"/>
        <v>229.71299271223717</v>
      </c>
    </row>
    <row r="14" spans="2:17">
      <c r="B14" s="1" t="s">
        <v>15</v>
      </c>
      <c r="C14" s="1">
        <v>1500</v>
      </c>
      <c r="D14">
        <v>1500</v>
      </c>
      <c r="F14" s="1" t="s">
        <v>8</v>
      </c>
      <c r="G14" s="4">
        <f>C10-(G7*G13^2)/2</f>
        <v>133045.93283896468</v>
      </c>
      <c r="H14" s="4">
        <f>H6+H11</f>
        <v>132578.11187786999</v>
      </c>
      <c r="I14" s="4">
        <f t="shared" ref="I14:Q14" si="6">I6+I11</f>
        <v>131967.60020390371</v>
      </c>
      <c r="J14" s="4">
        <f t="shared" si="6"/>
        <v>131158.8454989196</v>
      </c>
      <c r="K14" s="4">
        <f t="shared" si="6"/>
        <v>130069.3495033216</v>
      </c>
      <c r="L14" s="4">
        <f t="shared" si="6"/>
        <v>128573.64375024202</v>
      </c>
      <c r="M14" s="4">
        <f t="shared" si="6"/>
        <v>126475.70498112067</v>
      </c>
      <c r="N14" s="4">
        <f t="shared" si="6"/>
        <v>123459.75763803389</v>
      </c>
      <c r="O14" s="4">
        <f t="shared" si="6"/>
        <v>118998.90588609234</v>
      </c>
      <c r="P14" s="4">
        <f t="shared" si="6"/>
        <v>112177.34007187033</v>
      </c>
      <c r="Q14" s="4">
        <f t="shared" si="6"/>
        <v>101325</v>
      </c>
    </row>
    <row r="15" spans="2:17">
      <c r="F15" s="1" t="s">
        <v>9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  <c r="Q15" s="1">
        <v>1.1850000000000001</v>
      </c>
    </row>
    <row r="17" spans="6:17">
      <c r="F17" s="1" t="s">
        <v>16</v>
      </c>
      <c r="G17" s="5">
        <f>$C$11-(G13^2)/(2*$C$8)</f>
        <v>286.51822199954353</v>
      </c>
      <c r="H17" s="5">
        <f t="shared" ref="H17:Q17" si="7">$C$11-(H13^2)/(2*$C$8)</f>
        <v>286.14432731420362</v>
      </c>
      <c r="I17" s="5">
        <f t="shared" si="7"/>
        <v>285.65767107924432</v>
      </c>
      <c r="J17" s="5">
        <f t="shared" si="7"/>
        <v>285.01486905743229</v>
      </c>
      <c r="K17" s="5">
        <f t="shared" si="7"/>
        <v>284.1517528982896</v>
      </c>
      <c r="L17" s="5">
        <f t="shared" si="7"/>
        <v>282.97117071477834</v>
      </c>
      <c r="M17" s="5">
        <f t="shared" si="7"/>
        <v>281.32210737842018</v>
      </c>
      <c r="N17" s="5">
        <f t="shared" si="7"/>
        <v>278.96268606819575</v>
      </c>
      <c r="O17" s="5">
        <f t="shared" si="7"/>
        <v>275.49195971548346</v>
      </c>
      <c r="P17" s="5">
        <f t="shared" si="7"/>
        <v>270.2182963335195</v>
      </c>
      <c r="Q17" s="5">
        <f t="shared" si="7"/>
        <v>261.89155166227982</v>
      </c>
    </row>
    <row r="18" spans="6:17">
      <c r="F18" s="1" t="s">
        <v>17</v>
      </c>
      <c r="G18" s="6">
        <f>SQRT($C$6*$C$7*G17)</f>
        <v>339.28128460779294</v>
      </c>
      <c r="H18" s="6">
        <f t="shared" ref="H18:Q18" si="8">SQRT($C$6*$C$7*H17)</f>
        <v>339.05983816609171</v>
      </c>
      <c r="I18" s="6">
        <f t="shared" si="8"/>
        <v>338.77138966998683</v>
      </c>
      <c r="J18" s="6">
        <f t="shared" si="8"/>
        <v>338.39001433908953</v>
      </c>
      <c r="K18" s="6">
        <f t="shared" si="8"/>
        <v>337.87724925750643</v>
      </c>
      <c r="L18" s="6">
        <f t="shared" si="8"/>
        <v>337.1746193344124</v>
      </c>
      <c r="M18" s="6">
        <f t="shared" si="8"/>
        <v>336.19071212340174</v>
      </c>
      <c r="N18" s="6">
        <f t="shared" si="8"/>
        <v>334.77794420317952</v>
      </c>
      <c r="O18" s="6">
        <f t="shared" si="8"/>
        <v>332.68884881952442</v>
      </c>
      <c r="P18" s="6">
        <f t="shared" si="8"/>
        <v>329.48917874429782</v>
      </c>
      <c r="Q18" s="6">
        <f t="shared" si="8"/>
        <v>324.37287079698706</v>
      </c>
    </row>
    <row r="19" spans="6:17">
      <c r="F19" s="1" t="s">
        <v>18</v>
      </c>
      <c r="G19" s="7">
        <f>G13/G18</f>
        <v>0.16926441398990427</v>
      </c>
      <c r="H19" s="7">
        <f t="shared" ref="H19:Q19" si="9">H13/H18</f>
        <v>0.18767309009240241</v>
      </c>
      <c r="I19" s="7">
        <f t="shared" si="9"/>
        <v>0.20928293721628777</v>
      </c>
      <c r="J19" s="7">
        <f t="shared" si="9"/>
        <v>0.23489305519435505</v>
      </c>
      <c r="K19" s="7">
        <f t="shared" si="9"/>
        <v>0.2655746657995961</v>
      </c>
      <c r="L19" s="7">
        <f t="shared" si="9"/>
        <v>0.30279462751744468</v>
      </c>
      <c r="M19" s="7">
        <f t="shared" si="9"/>
        <v>0.34861315962723916</v>
      </c>
      <c r="N19" s="7">
        <f t="shared" si="9"/>
        <v>0.40601494234638119</v>
      </c>
      <c r="O19" s="7">
        <f t="shared" si="9"/>
        <v>0.47949581766980504</v>
      </c>
      <c r="P19" s="7">
        <f t="shared" si="9"/>
        <v>0.57618113361832746</v>
      </c>
      <c r="Q19" s="7">
        <f t="shared" si="9"/>
        <v>0.70817572427629438</v>
      </c>
    </row>
    <row r="20" spans="6:17">
      <c r="F20" s="8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6:17">
      <c r="F21" s="8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6:17">
      <c r="F22" s="8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6:17">
      <c r="F23" s="8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</row>
  </sheetData>
  <pageMargins left="0.7" right="0.7" top="0.75" bottom="0.75" header="0.3" footer="0.3"/>
  <pageSetup paperSize="9" orientation="portrait" horizontalDpi="180" verticalDpi="18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2021-05-23T11:19:25Z</dcterms:modified>
</cp:coreProperties>
</file>