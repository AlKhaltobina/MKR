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/>
  <bookViews>
    <workbookView xWindow="0" yWindow="0" windowWidth="20730" windowHeight="11760"/>
  </bookViews>
  <sheets>
    <sheet name="Лист 1" sheetId="1" r:id="rId1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4" i="1"/>
  <c r="G104"/>
  <c r="AK103"/>
  <c r="G103"/>
  <c r="AK102"/>
  <c r="G102"/>
  <c r="AK101"/>
  <c r="G101"/>
  <c r="AK100"/>
  <c r="G100"/>
  <c r="AK99"/>
  <c r="G99"/>
  <c r="AK98"/>
  <c r="G98"/>
  <c r="AK97"/>
  <c r="G97"/>
  <c r="AK96"/>
  <c r="G96"/>
  <c r="AK95"/>
  <c r="G95"/>
  <c r="AK94"/>
  <c r="G94"/>
  <c r="AK93"/>
  <c r="G93"/>
  <c r="AK92"/>
  <c r="G92"/>
  <c r="AK91"/>
  <c r="G91"/>
  <c r="AK90"/>
  <c r="G90"/>
  <c r="AK89"/>
  <c r="G89"/>
  <c r="AK88"/>
  <c r="G88"/>
  <c r="AK87"/>
  <c r="G87"/>
  <c r="AK86"/>
  <c r="G86"/>
  <c r="AK85"/>
  <c r="G85"/>
  <c r="AK84"/>
  <c r="G84"/>
  <c r="AK83"/>
  <c r="G83"/>
  <c r="AK82"/>
  <c r="G82"/>
  <c r="AK81"/>
  <c r="G81"/>
  <c r="AK80"/>
  <c r="G80"/>
  <c r="AK79"/>
  <c r="G79"/>
  <c r="AK78"/>
  <c r="G78"/>
  <c r="AK77"/>
  <c r="G77"/>
  <c r="AK76"/>
  <c r="G76"/>
  <c r="AK75"/>
  <c r="G75"/>
  <c r="AK74"/>
  <c r="G74"/>
  <c r="CZ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K69"/>
  <c r="BR104" s="1"/>
  <c r="G69"/>
  <c r="AN104" s="1"/>
  <c r="CZ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K68"/>
  <c r="BR103" s="1"/>
  <c r="G68"/>
  <c r="AN103" s="1"/>
  <c r="CZ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K67"/>
  <c r="BR102" s="1"/>
  <c r="G67"/>
  <c r="AN102" s="1"/>
  <c r="CZ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K66"/>
  <c r="BR101" s="1"/>
  <c r="G66"/>
  <c r="AN101" s="1"/>
  <c r="CZ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K65"/>
  <c r="BR100" s="1"/>
  <c r="G65"/>
  <c r="AN100" s="1"/>
  <c r="CZ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K64"/>
  <c r="BR99" s="1"/>
  <c r="G64"/>
  <c r="AN99" s="1"/>
  <c r="CZ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K63"/>
  <c r="BR98" s="1"/>
  <c r="G63"/>
  <c r="AN98" s="1"/>
  <c r="CZ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K62"/>
  <c r="BR97" s="1"/>
  <c r="G62"/>
  <c r="AN97" s="1"/>
  <c r="CZ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K61"/>
  <c r="BR96" s="1"/>
  <c r="G61"/>
  <c r="AN96" s="1"/>
  <c r="CZ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K60"/>
  <c r="BR95" s="1"/>
  <c r="G60"/>
  <c r="AN95" s="1"/>
  <c r="CZ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K59"/>
  <c r="BR94" s="1"/>
  <c r="G59"/>
  <c r="AN94" s="1"/>
  <c r="CZ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K58"/>
  <c r="BR93" s="1"/>
  <c r="G58"/>
  <c r="AN93" s="1"/>
  <c r="CZ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K57"/>
  <c r="BR92" s="1"/>
  <c r="G57"/>
  <c r="AN92" s="1"/>
  <c r="CZ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K56"/>
  <c r="BR91" s="1"/>
  <c r="G56"/>
  <c r="AN91" s="1"/>
  <c r="CZ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K55"/>
  <c r="BR90" s="1"/>
  <c r="G55"/>
  <c r="AN90" s="1"/>
  <c r="CZ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K54"/>
  <c r="BR89" s="1"/>
  <c r="G54"/>
  <c r="AN89" s="1"/>
  <c r="DD53"/>
  <c r="CZ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K53"/>
  <c r="BR88" s="1"/>
  <c r="G53"/>
  <c r="AN88" s="1"/>
  <c r="CZ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K52"/>
  <c r="BR87" s="1"/>
  <c r="G52"/>
  <c r="AN87" s="1"/>
  <c r="CZ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K51"/>
  <c r="BR86" s="1"/>
  <c r="G51"/>
  <c r="AN86" s="1"/>
  <c r="CZ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K50"/>
  <c r="BR85" s="1"/>
  <c r="G50"/>
  <c r="AN85" s="1"/>
  <c r="CZ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K49"/>
  <c r="BR84" s="1"/>
  <c r="G49"/>
  <c r="AN84" s="1"/>
  <c r="CZ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K48"/>
  <c r="BR83" s="1"/>
  <c r="G48"/>
  <c r="AN83" s="1"/>
  <c r="CZ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K47"/>
  <c r="BR82" s="1"/>
  <c r="G47"/>
  <c r="AN82" s="1"/>
  <c r="CZ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K46"/>
  <c r="BR81" s="1"/>
  <c r="G46"/>
  <c r="AN81" s="1"/>
  <c r="CZ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K45"/>
  <c r="BR80" s="1"/>
  <c r="G45"/>
  <c r="AN80" s="1"/>
  <c r="CZ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K44"/>
  <c r="BR79" s="1"/>
  <c r="G44"/>
  <c r="AN79" s="1"/>
  <c r="CZ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K43"/>
  <c r="BR78" s="1"/>
  <c r="G43"/>
  <c r="AN78" s="1"/>
  <c r="CZ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K42"/>
  <c r="BR77" s="1"/>
  <c r="G42"/>
  <c r="AN77" s="1"/>
  <c r="CZ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K41"/>
  <c r="BR76" s="1"/>
  <c r="G41"/>
  <c r="AN76" s="1"/>
  <c r="CZ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K40"/>
  <c r="BR75" s="1"/>
  <c r="G40"/>
  <c r="AN75" s="1"/>
  <c r="CZ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K39"/>
  <c r="BR74" s="1"/>
  <c r="G39"/>
  <c r="AN74" s="1"/>
  <c r="AI34"/>
  <c r="AH34"/>
  <c r="AG34"/>
  <c r="AE34"/>
  <c r="AA34"/>
  <c r="Y34"/>
  <c r="W34"/>
  <c r="O34"/>
  <c r="K34"/>
  <c r="J34"/>
  <c r="I34"/>
  <c r="AK33"/>
  <c r="BR69" s="1"/>
  <c r="G33"/>
  <c r="AK32"/>
  <c r="BR68" s="1"/>
  <c r="G32"/>
  <c r="F32"/>
  <c r="AK31"/>
  <c r="BR67" s="1"/>
  <c r="G31"/>
  <c r="AK30"/>
  <c r="BR66" s="1"/>
  <c r="G30"/>
  <c r="F30"/>
  <c r="AK29"/>
  <c r="BR65" s="1"/>
  <c r="G29"/>
  <c r="AK28"/>
  <c r="BR64" s="1"/>
  <c r="G28"/>
  <c r="AK27"/>
  <c r="BR63" s="1"/>
  <c r="G27"/>
  <c r="AK26"/>
  <c r="BR62" s="1"/>
  <c r="G26"/>
  <c r="DD62" s="1"/>
  <c r="AK25"/>
  <c r="BR61" s="1"/>
  <c r="G25"/>
  <c r="AL24"/>
  <c r="AK24"/>
  <c r="BR60" s="1"/>
  <c r="G24"/>
  <c r="AK23"/>
  <c r="BR59" s="1"/>
  <c r="G23"/>
  <c r="AK22"/>
  <c r="BR58" s="1"/>
  <c r="G22"/>
  <c r="AK21"/>
  <c r="BR57" s="1"/>
  <c r="G21"/>
  <c r="AK20"/>
  <c r="G20"/>
  <c r="B20"/>
  <c r="AK19"/>
  <c r="BR55" s="1"/>
  <c r="G19"/>
  <c r="AN55" s="1"/>
  <c r="AK18"/>
  <c r="BR54" s="1"/>
  <c r="G18"/>
  <c r="AK17"/>
  <c r="BR53" s="1"/>
  <c r="G17"/>
  <c r="AN53" s="1"/>
  <c r="AK16"/>
  <c r="BR52" s="1"/>
  <c r="G16"/>
  <c r="DD52" s="1"/>
  <c r="AK15"/>
  <c r="BR51" s="1"/>
  <c r="G15"/>
  <c r="AK14"/>
  <c r="BR50" s="1"/>
  <c r="G14"/>
  <c r="AK13"/>
  <c r="BR49" s="1"/>
  <c r="AK12"/>
  <c r="BR48" s="1"/>
  <c r="G12"/>
  <c r="DD48" s="1"/>
  <c r="AK11"/>
  <c r="BR47" s="1"/>
  <c r="G11"/>
  <c r="AN47" s="1"/>
  <c r="AK10"/>
  <c r="BR46" s="1"/>
  <c r="G10"/>
  <c r="DD46" s="1"/>
  <c r="AK9"/>
  <c r="BR45" s="1"/>
  <c r="G9"/>
  <c r="DD45" s="1"/>
  <c r="AK8"/>
  <c r="BR44" s="1"/>
  <c r="G8"/>
  <c r="AN44" s="1"/>
  <c r="AK7"/>
  <c r="BR43" s="1"/>
  <c r="G7"/>
  <c r="AN43" s="1"/>
  <c r="AK6"/>
  <c r="BR42" s="1"/>
  <c r="G6"/>
  <c r="DD42" s="1"/>
  <c r="B6"/>
  <c r="AL31" s="1"/>
  <c r="AL5"/>
  <c r="AK5"/>
  <c r="BR41" s="1"/>
  <c r="G5"/>
  <c r="AN41" s="1"/>
  <c r="B5"/>
  <c r="AF34" s="1"/>
  <c r="AK4"/>
  <c r="BR40" s="1"/>
  <c r="G4"/>
  <c r="AN40" s="1"/>
  <c r="F4"/>
  <c r="AK3"/>
  <c r="G3"/>
  <c r="AN39" s="1"/>
  <c r="AJ2"/>
  <c r="AH2"/>
  <c r="AF2"/>
  <c r="Z2"/>
  <c r="X2"/>
  <c r="W2"/>
  <c r="V2"/>
  <c r="T2"/>
  <c r="S2"/>
  <c r="P2"/>
  <c r="O2"/>
  <c r="J2"/>
  <c r="H2"/>
  <c r="DD39" l="1"/>
  <c r="F21"/>
  <c r="Q34"/>
  <c r="L2"/>
  <c r="AB2"/>
  <c r="R34"/>
  <c r="K2"/>
  <c r="AA2"/>
  <c r="N2"/>
  <c r="AD2"/>
  <c r="S34"/>
  <c r="R2"/>
  <c r="AI2"/>
  <c r="AL22"/>
  <c r="F28"/>
  <c r="Z34"/>
  <c r="DD40"/>
  <c r="AL11"/>
  <c r="AL19"/>
  <c r="B25"/>
  <c r="B27" s="1"/>
  <c r="AL13"/>
  <c r="AN57"/>
  <c r="DD57"/>
  <c r="DD66"/>
  <c r="AN66"/>
  <c r="F8"/>
  <c r="F14"/>
  <c r="F16"/>
  <c r="AN59"/>
  <c r="DD59"/>
  <c r="AL26"/>
  <c r="M2"/>
  <c r="U2"/>
  <c r="AC2"/>
  <c r="AK2"/>
  <c r="AL4"/>
  <c r="AN50"/>
  <c r="DD50"/>
  <c r="DD54"/>
  <c r="AN54"/>
  <c r="F20"/>
  <c r="AL21"/>
  <c r="AN61"/>
  <c r="DD61"/>
  <c r="AL28"/>
  <c r="AL30"/>
  <c r="AL32"/>
  <c r="L34"/>
  <c r="T34"/>
  <c r="AB34"/>
  <c r="AJ34"/>
  <c r="AN42"/>
  <c r="AL15"/>
  <c r="DD64"/>
  <c r="AN64"/>
  <c r="F10"/>
  <c r="F18"/>
  <c r="F3"/>
  <c r="AN56"/>
  <c r="DD56"/>
  <c r="B22"/>
  <c r="AL23"/>
  <c r="F27"/>
  <c r="F29"/>
  <c r="F31"/>
  <c r="DD69"/>
  <c r="AN69"/>
  <c r="M34"/>
  <c r="U34"/>
  <c r="AC34"/>
  <c r="AK34"/>
  <c r="DD43"/>
  <c r="DD47"/>
  <c r="AN48"/>
  <c r="AN68"/>
  <c r="DD68"/>
  <c r="AE2"/>
  <c r="F5"/>
  <c r="AL6"/>
  <c r="AL8"/>
  <c r="AL10"/>
  <c r="AL12"/>
  <c r="AL14"/>
  <c r="AL16"/>
  <c r="AL18"/>
  <c r="F22"/>
  <c r="F24"/>
  <c r="AL25"/>
  <c r="AN63"/>
  <c r="DD63"/>
  <c r="DD65"/>
  <c r="AN65"/>
  <c r="DD67"/>
  <c r="AN67"/>
  <c r="N34"/>
  <c r="V34"/>
  <c r="AD34"/>
  <c r="DD41"/>
  <c r="AN46"/>
  <c r="DD55"/>
  <c r="AN62"/>
  <c r="AL9"/>
  <c r="AL17"/>
  <c r="F23"/>
  <c r="F6"/>
  <c r="F25"/>
  <c r="F7"/>
  <c r="F17"/>
  <c r="AL7"/>
  <c r="F12"/>
  <c r="BW50"/>
  <c r="F9"/>
  <c r="F11"/>
  <c r="F13"/>
  <c r="F15"/>
  <c r="F19"/>
  <c r="AL20"/>
  <c r="DD58"/>
  <c r="AN58"/>
  <c r="AN60"/>
  <c r="DD60"/>
  <c r="B26"/>
  <c r="AL33"/>
  <c r="I2"/>
  <c r="Q2"/>
  <c r="Y2"/>
  <c r="AG2"/>
  <c r="AL3"/>
  <c r="AN49"/>
  <c r="DD49"/>
  <c r="AN51"/>
  <c r="DD51"/>
  <c r="B21"/>
  <c r="CV103" s="1"/>
  <c r="F26"/>
  <c r="AL27"/>
  <c r="AL29"/>
  <c r="H34"/>
  <c r="P34"/>
  <c r="X34"/>
  <c r="DD44"/>
  <c r="BW49" l="1"/>
  <c r="DE44"/>
  <c r="BW52"/>
  <c r="BW53"/>
  <c r="DE49"/>
  <c r="DF49" s="1"/>
  <c r="BW58"/>
  <c r="BW56"/>
  <c r="BX56" s="1"/>
  <c r="BY56" s="1"/>
  <c r="BZ56" s="1"/>
  <c r="CA56" s="1"/>
  <c r="DE45"/>
  <c r="DE60"/>
  <c r="CQ103"/>
  <c r="CQ102" s="1"/>
  <c r="CQ101" s="1"/>
  <c r="DE62"/>
  <c r="DF62" s="1"/>
  <c r="BX53"/>
  <c r="BY53" s="1"/>
  <c r="BZ53" s="1"/>
  <c r="BW40"/>
  <c r="BW61"/>
  <c r="BX61" s="1"/>
  <c r="BY61" s="1"/>
  <c r="BZ61" s="1"/>
  <c r="BW63"/>
  <c r="DE58"/>
  <c r="BW62"/>
  <c r="BX62" s="1"/>
  <c r="BX46"/>
  <c r="BY46" s="1"/>
  <c r="BZ46" s="1"/>
  <c r="DE69"/>
  <c r="DE50"/>
  <c r="DF50" s="1"/>
  <c r="BW47"/>
  <c r="BW42"/>
  <c r="BX42" s="1"/>
  <c r="BW48"/>
  <c r="BX48" s="1"/>
  <c r="BY48" s="1"/>
  <c r="BW46"/>
  <c r="DE53"/>
  <c r="DF53" s="1"/>
  <c r="BV103"/>
  <c r="BV102" s="1"/>
  <c r="BV101" s="1"/>
  <c r="BV100" s="1"/>
  <c r="BV99" s="1"/>
  <c r="BV98" s="1"/>
  <c r="BV97" s="1"/>
  <c r="BV96" s="1"/>
  <c r="BV95" s="1"/>
  <c r="BV94" s="1"/>
  <c r="BV93" s="1"/>
  <c r="BV92" s="1"/>
  <c r="BV91" s="1"/>
  <c r="BV90" s="1"/>
  <c r="BV89" s="1"/>
  <c r="BV88" s="1"/>
  <c r="BV87" s="1"/>
  <c r="BV86" s="1"/>
  <c r="BV85" s="1"/>
  <c r="BV84" s="1"/>
  <c r="BV83" s="1"/>
  <c r="BV82" s="1"/>
  <c r="BV81" s="1"/>
  <c r="BV80" s="1"/>
  <c r="BV79" s="1"/>
  <c r="BV78" s="1"/>
  <c r="BV77" s="1"/>
  <c r="BV76" s="1"/>
  <c r="BV75" s="1"/>
  <c r="BV74" s="1"/>
  <c r="CF103"/>
  <c r="CN103"/>
  <c r="CN102" s="1"/>
  <c r="CN101" s="1"/>
  <c r="BX63"/>
  <c r="BW55"/>
  <c r="BX55" s="1"/>
  <c r="CS103"/>
  <c r="CF102"/>
  <c r="CF101" s="1"/>
  <c r="CY103"/>
  <c r="CY102" s="1"/>
  <c r="BW60"/>
  <c r="BX60" s="1"/>
  <c r="BX58"/>
  <c r="BY58" s="1"/>
  <c r="BW51"/>
  <c r="CW103"/>
  <c r="CP102"/>
  <c r="CP101" s="1"/>
  <c r="CK103"/>
  <c r="BX102"/>
  <c r="CU103"/>
  <c r="CU102" s="1"/>
  <c r="CU101" s="1"/>
  <c r="CM103"/>
  <c r="CX103"/>
  <c r="CX102" s="1"/>
  <c r="CP103"/>
  <c r="BX103"/>
  <c r="CI103"/>
  <c r="CI102" s="1"/>
  <c r="BW68"/>
  <c r="DE42"/>
  <c r="CO103"/>
  <c r="CC103"/>
  <c r="CZ103"/>
  <c r="CZ102" s="1"/>
  <c r="CZ101" s="1"/>
  <c r="CZ100" s="1"/>
  <c r="CZ99" s="1"/>
  <c r="CZ98" s="1"/>
  <c r="CZ97" s="1"/>
  <c r="CZ96" s="1"/>
  <c r="CZ95" s="1"/>
  <c r="CZ94" s="1"/>
  <c r="CZ93" s="1"/>
  <c r="CZ92" s="1"/>
  <c r="CZ91" s="1"/>
  <c r="CZ90" s="1"/>
  <c r="CZ89" s="1"/>
  <c r="CZ88" s="1"/>
  <c r="CZ87" s="1"/>
  <c r="CZ86" s="1"/>
  <c r="CZ85" s="1"/>
  <c r="CZ84" s="1"/>
  <c r="CZ83" s="1"/>
  <c r="CZ82" s="1"/>
  <c r="CZ81" s="1"/>
  <c r="CZ80" s="1"/>
  <c r="CZ79" s="1"/>
  <c r="CZ78" s="1"/>
  <c r="CZ77" s="1"/>
  <c r="CZ76" s="1"/>
  <c r="CZ75" s="1"/>
  <c r="CZ74" s="1"/>
  <c r="CE103"/>
  <c r="BW103"/>
  <c r="BZ103"/>
  <c r="BZ102" s="1"/>
  <c r="BZ101" s="1"/>
  <c r="BZ100" s="1"/>
  <c r="DE46"/>
  <c r="DF46" s="1"/>
  <c r="CG103"/>
  <c r="CW102"/>
  <c r="CR103"/>
  <c r="CR102" s="1"/>
  <c r="BW69"/>
  <c r="BY63"/>
  <c r="BZ63" s="1"/>
  <c r="BW57"/>
  <c r="BX57" s="1"/>
  <c r="BY57" s="1"/>
  <c r="DE48"/>
  <c r="DF48" s="1"/>
  <c r="BY103"/>
  <c r="BY102" s="1"/>
  <c r="BY101" s="1"/>
  <c r="CT103"/>
  <c r="CJ103"/>
  <c r="BW66"/>
  <c r="BX66" s="1"/>
  <c r="BW65"/>
  <c r="BX65" s="1"/>
  <c r="BW43"/>
  <c r="BW45"/>
  <c r="BX50"/>
  <c r="BW67"/>
  <c r="BW54"/>
  <c r="CV102"/>
  <c r="CD103"/>
  <c r="DE51"/>
  <c r="BX49"/>
  <c r="CH103"/>
  <c r="CH102" s="1"/>
  <c r="CB103"/>
  <c r="CL103"/>
  <c r="BW39"/>
  <c r="BX39" s="1"/>
  <c r="DE61"/>
  <c r="DF61" s="1"/>
  <c r="DE66"/>
  <c r="BW41"/>
  <c r="BW44"/>
  <c r="BW59"/>
  <c r="BX52"/>
  <c r="BW64"/>
  <c r="CA103"/>
  <c r="CK102"/>
  <c r="CK101" s="1"/>
  <c r="DE67"/>
  <c r="DE57"/>
  <c r="DE68"/>
  <c r="DE59"/>
  <c r="DE41"/>
  <c r="DF41" s="1"/>
  <c r="DE65"/>
  <c r="DF65" s="1"/>
  <c r="DE47"/>
  <c r="DF47" s="1"/>
  <c r="DE43"/>
  <c r="DF43" s="1"/>
  <c r="DE64"/>
  <c r="DE55"/>
  <c r="DE63"/>
  <c r="DF63" s="1"/>
  <c r="DG63" s="1"/>
  <c r="DD103"/>
  <c r="EH103"/>
  <c r="EH102" s="1"/>
  <c r="DE40"/>
  <c r="DE56"/>
  <c r="DE54"/>
  <c r="DE52"/>
  <c r="DF52" s="1"/>
  <c r="DE39"/>
  <c r="DG61" l="1"/>
  <c r="DH61" s="1"/>
  <c r="DI61" s="1"/>
  <c r="DF57"/>
  <c r="DG57" s="1"/>
  <c r="DH57" s="1"/>
  <c r="DF42"/>
  <c r="DG42" s="1"/>
  <c r="DG53"/>
  <c r="DH53" s="1"/>
  <c r="DF44"/>
  <c r="DG44" s="1"/>
  <c r="DH63"/>
  <c r="DI63" s="1"/>
  <c r="DF68"/>
  <c r="DF45"/>
  <c r="DF55"/>
  <c r="DG55" s="1"/>
  <c r="DD102"/>
  <c r="DD101" s="1"/>
  <c r="DD100" s="1"/>
  <c r="DD99" s="1"/>
  <c r="DD98" s="1"/>
  <c r="DD97" s="1"/>
  <c r="DD96" s="1"/>
  <c r="DD95" s="1"/>
  <c r="DD94" s="1"/>
  <c r="DD93" s="1"/>
  <c r="DD92" s="1"/>
  <c r="DD91" s="1"/>
  <c r="DD90" s="1"/>
  <c r="DD89" s="1"/>
  <c r="DD88" s="1"/>
  <c r="DD87" s="1"/>
  <c r="DD86" s="1"/>
  <c r="DD85" s="1"/>
  <c r="DD84" s="1"/>
  <c r="DD83" s="1"/>
  <c r="DD82" s="1"/>
  <c r="DD81" s="1"/>
  <c r="DD80" s="1"/>
  <c r="DD79" s="1"/>
  <c r="DD78" s="1"/>
  <c r="DD77" s="1"/>
  <c r="DD76" s="1"/>
  <c r="DD75" s="1"/>
  <c r="DD74" s="1"/>
  <c r="DF64"/>
  <c r="DF67"/>
  <c r="DF58"/>
  <c r="DG58" s="1"/>
  <c r="DH58" s="1"/>
  <c r="DG46"/>
  <c r="DH46" s="1"/>
  <c r="DI46" s="1"/>
  <c r="EH101"/>
  <c r="DF56"/>
  <c r="DG56" s="1"/>
  <c r="DH56" s="1"/>
  <c r="DI56" s="1"/>
  <c r="DJ56" s="1"/>
  <c r="DF40"/>
  <c r="BZ99"/>
  <c r="DG49"/>
  <c r="BY49"/>
  <c r="BX54"/>
  <c r="CW101"/>
  <c r="BX101"/>
  <c r="BY62"/>
  <c r="BX40"/>
  <c r="BY52"/>
  <c r="CV101"/>
  <c r="CU100"/>
  <c r="BX68"/>
  <c r="CD102"/>
  <c r="BY39"/>
  <c r="BX51"/>
  <c r="CA53"/>
  <c r="CJ102"/>
  <c r="BW102"/>
  <c r="CO102"/>
  <c r="CY101"/>
  <c r="CP100"/>
  <c r="BY100"/>
  <c r="CA46"/>
  <c r="CE102"/>
  <c r="CM102"/>
  <c r="CA102"/>
  <c r="BX64"/>
  <c r="CA61"/>
  <c r="BZ48"/>
  <c r="CL102"/>
  <c r="BZ57"/>
  <c r="CQ100"/>
  <c r="CF100"/>
  <c r="BY55"/>
  <c r="BX59"/>
  <c r="DG62"/>
  <c r="DH62" s="1"/>
  <c r="CB102"/>
  <c r="BY50"/>
  <c r="BX69"/>
  <c r="BY60"/>
  <c r="CK100"/>
  <c r="BY66"/>
  <c r="CS102"/>
  <c r="CB56"/>
  <c r="DF69"/>
  <c r="BX43"/>
  <c r="CG102"/>
  <c r="CI101"/>
  <c r="DF39"/>
  <c r="DG39" s="1"/>
  <c r="DH39" s="1"/>
  <c r="DF51"/>
  <c r="DG52"/>
  <c r="DH52" s="1"/>
  <c r="EH100"/>
  <c r="EH99" s="1"/>
  <c r="EH98" s="1"/>
  <c r="EH97" s="1"/>
  <c r="EH96" s="1"/>
  <c r="EH95" s="1"/>
  <c r="EH94" s="1"/>
  <c r="EH93" s="1"/>
  <c r="EH92" s="1"/>
  <c r="EH91" s="1"/>
  <c r="EH90" s="1"/>
  <c r="EH89" s="1"/>
  <c r="EH88" s="1"/>
  <c r="EH87" s="1"/>
  <c r="EH86" s="1"/>
  <c r="EH85" s="1"/>
  <c r="EH84" s="1"/>
  <c r="EH83" s="1"/>
  <c r="EH82" s="1"/>
  <c r="EH81" s="1"/>
  <c r="EH80" s="1"/>
  <c r="EH79" s="1"/>
  <c r="EH78" s="1"/>
  <c r="EH77" s="1"/>
  <c r="EH76" s="1"/>
  <c r="EH75" s="1"/>
  <c r="EH74" s="1"/>
  <c r="DG65"/>
  <c r="BX44"/>
  <c r="BY65"/>
  <c r="BY42"/>
  <c r="CC102"/>
  <c r="DF60"/>
  <c r="DG60" s="1"/>
  <c r="CH101"/>
  <c r="CT102"/>
  <c r="DF54"/>
  <c r="BX45"/>
  <c r="CR101"/>
  <c r="DF59"/>
  <c r="DG59" s="1"/>
  <c r="DF66"/>
  <c r="DG66" s="1"/>
  <c r="DH66" s="1"/>
  <c r="BX67"/>
  <c r="DG48"/>
  <c r="DH48" s="1"/>
  <c r="CA63"/>
  <c r="CN100"/>
  <c r="BX47"/>
  <c r="DG47" s="1"/>
  <c r="DG50"/>
  <c r="BX41"/>
  <c r="DG41" s="1"/>
  <c r="BZ58"/>
  <c r="CX101"/>
  <c r="DI53"/>
  <c r="DG68" l="1"/>
  <c r="DG51"/>
  <c r="DH60"/>
  <c r="DG69"/>
  <c r="DH69" s="1"/>
  <c r="DI58"/>
  <c r="DH50"/>
  <c r="DI50" s="1"/>
  <c r="DG67"/>
  <c r="DJ46"/>
  <c r="DI57"/>
  <c r="DH55"/>
  <c r="DJ53"/>
  <c r="DI48"/>
  <c r="BY64"/>
  <c r="CD101"/>
  <c r="BY40"/>
  <c r="CB63"/>
  <c r="BZ65"/>
  <c r="BZ60"/>
  <c r="CB101"/>
  <c r="CF99"/>
  <c r="CA101"/>
  <c r="BY99"/>
  <c r="BY54"/>
  <c r="CT101"/>
  <c r="CC101"/>
  <c r="BY43"/>
  <c r="CA48"/>
  <c r="CM101"/>
  <c r="BW101"/>
  <c r="CB53"/>
  <c r="CV100"/>
  <c r="BZ62"/>
  <c r="CG101"/>
  <c r="DK56"/>
  <c r="BY44"/>
  <c r="DH44" s="1"/>
  <c r="CS101"/>
  <c r="BY69"/>
  <c r="BY59"/>
  <c r="DH59" s="1"/>
  <c r="DG40"/>
  <c r="DH40" s="1"/>
  <c r="CE101"/>
  <c r="CP99"/>
  <c r="BY51"/>
  <c r="DJ61"/>
  <c r="DH49"/>
  <c r="BY47"/>
  <c r="DH47" s="1"/>
  <c r="BZ42"/>
  <c r="CI100"/>
  <c r="DI62"/>
  <c r="CQ99"/>
  <c r="DG64"/>
  <c r="BZ49"/>
  <c r="CX100"/>
  <c r="CN99"/>
  <c r="CR100"/>
  <c r="DH42"/>
  <c r="CA58"/>
  <c r="BY67"/>
  <c r="DG54"/>
  <c r="CH100"/>
  <c r="DH65"/>
  <c r="DG43"/>
  <c r="DH43" s="1"/>
  <c r="CA57"/>
  <c r="CB61"/>
  <c r="CJ101"/>
  <c r="BY68"/>
  <c r="DH68" s="1"/>
  <c r="BZ52"/>
  <c r="BX100"/>
  <c r="BY45"/>
  <c r="CC56"/>
  <c r="CO101"/>
  <c r="BY41"/>
  <c r="BZ66"/>
  <c r="BZ50"/>
  <c r="BZ55"/>
  <c r="DG45"/>
  <c r="CY100"/>
  <c r="BZ39"/>
  <c r="BZ98"/>
  <c r="CK99"/>
  <c r="CL101"/>
  <c r="DJ63"/>
  <c r="DK63" s="1"/>
  <c r="CB46"/>
  <c r="CU99"/>
  <c r="CW100"/>
  <c r="DJ58" l="1"/>
  <c r="DI60"/>
  <c r="DH54"/>
  <c r="DI54" s="1"/>
  <c r="DH45"/>
  <c r="DJ57"/>
  <c r="DI49"/>
  <c r="DJ49" s="1"/>
  <c r="BZ97"/>
  <c r="CF98"/>
  <c r="CA50"/>
  <c r="DJ50" s="1"/>
  <c r="CB58"/>
  <c r="CX99"/>
  <c r="CI99"/>
  <c r="DK61"/>
  <c r="BZ59"/>
  <c r="DI59" s="1"/>
  <c r="BZ54"/>
  <c r="BZ64"/>
  <c r="CL100"/>
  <c r="BZ67"/>
  <c r="CA65"/>
  <c r="BZ44"/>
  <c r="CU98"/>
  <c r="CK98"/>
  <c r="CA39"/>
  <c r="CD56"/>
  <c r="BZ68"/>
  <c r="DI68" s="1"/>
  <c r="DI43"/>
  <c r="BZ51"/>
  <c r="DL56"/>
  <c r="CC53"/>
  <c r="BZ43"/>
  <c r="CB100"/>
  <c r="CC63"/>
  <c r="DL63" s="1"/>
  <c r="CA55"/>
  <c r="CB57"/>
  <c r="CV99"/>
  <c r="CA66"/>
  <c r="DI65"/>
  <c r="DI39"/>
  <c r="CA49"/>
  <c r="CA42"/>
  <c r="BZ69"/>
  <c r="CG100"/>
  <c r="BY98"/>
  <c r="DI55"/>
  <c r="CW99"/>
  <c r="CC46"/>
  <c r="CY99"/>
  <c r="BZ45"/>
  <c r="DI45" s="1"/>
  <c r="CJ100"/>
  <c r="CH99"/>
  <c r="DI42"/>
  <c r="CP98"/>
  <c r="BW100"/>
  <c r="CC100"/>
  <c r="CA60"/>
  <c r="BZ40"/>
  <c r="DI40" s="1"/>
  <c r="DI66"/>
  <c r="CN98"/>
  <c r="CO100"/>
  <c r="CB48"/>
  <c r="DK46"/>
  <c r="BZ41"/>
  <c r="CR99"/>
  <c r="DH64"/>
  <c r="DJ48"/>
  <c r="DH67"/>
  <c r="DI67" s="1"/>
  <c r="DK53"/>
  <c r="CA100"/>
  <c r="CA52"/>
  <c r="DI52"/>
  <c r="DJ52" s="1"/>
  <c r="BX99"/>
  <c r="CC61"/>
  <c r="CQ98"/>
  <c r="BZ47"/>
  <c r="CE100"/>
  <c r="CS100"/>
  <c r="CA62"/>
  <c r="DJ62" s="1"/>
  <c r="CM100"/>
  <c r="CT100"/>
  <c r="DH51"/>
  <c r="DI51" s="1"/>
  <c r="CD100"/>
  <c r="DH41"/>
  <c r="DJ60" l="1"/>
  <c r="DK48"/>
  <c r="DJ39"/>
  <c r="DJ65"/>
  <c r="DL61"/>
  <c r="CA41"/>
  <c r="CD46"/>
  <c r="CA44"/>
  <c r="CI98"/>
  <c r="BW99"/>
  <c r="DI44"/>
  <c r="DM56"/>
  <c r="DN56" s="1"/>
  <c r="CB39"/>
  <c r="CD99"/>
  <c r="CC48"/>
  <c r="DJ66"/>
  <c r="CA45"/>
  <c r="DJ45" s="1"/>
  <c r="CW98"/>
  <c r="CA51"/>
  <c r="CB65"/>
  <c r="CX98"/>
  <c r="CA47"/>
  <c r="CC99"/>
  <c r="CE56"/>
  <c r="CA64"/>
  <c r="CB62"/>
  <c r="CD63"/>
  <c r="DM63" s="1"/>
  <c r="CP97"/>
  <c r="CV98"/>
  <c r="CB52"/>
  <c r="DK52" s="1"/>
  <c r="DI64"/>
  <c r="CY98"/>
  <c r="DJ55"/>
  <c r="CA67"/>
  <c r="DJ67" s="1"/>
  <c r="CC58"/>
  <c r="CA99"/>
  <c r="CB55"/>
  <c r="CJ99"/>
  <c r="DI41"/>
  <c r="DL53"/>
  <c r="CA69"/>
  <c r="CS99"/>
  <c r="CB99"/>
  <c r="CK97"/>
  <c r="BZ96"/>
  <c r="CD61"/>
  <c r="CT99"/>
  <c r="CE99"/>
  <c r="CR98"/>
  <c r="CO99"/>
  <c r="CB60"/>
  <c r="DJ42"/>
  <c r="BY97"/>
  <c r="CB49"/>
  <c r="CC57"/>
  <c r="CA43"/>
  <c r="DJ43" s="1"/>
  <c r="CA68"/>
  <c r="DJ68" s="1"/>
  <c r="CU97"/>
  <c r="CA59"/>
  <c r="DK58"/>
  <c r="DL58" s="1"/>
  <c r="CF97"/>
  <c r="CQ97"/>
  <c r="DL46"/>
  <c r="CB66"/>
  <c r="CA40"/>
  <c r="CB42"/>
  <c r="CA54"/>
  <c r="DJ54" s="1"/>
  <c r="BX98"/>
  <c r="CH98"/>
  <c r="DI69"/>
  <c r="DJ69" s="1"/>
  <c r="CL99"/>
  <c r="CB50"/>
  <c r="DK50" s="1"/>
  <c r="DK57"/>
  <c r="CM99"/>
  <c r="CN97"/>
  <c r="CG99"/>
  <c r="CD53"/>
  <c r="DI47"/>
  <c r="DK60" l="1"/>
  <c r="DK66"/>
  <c r="DK65"/>
  <c r="DK39"/>
  <c r="DL39" s="1"/>
  <c r="DM61"/>
  <c r="DM46"/>
  <c r="DJ41"/>
  <c r="DJ47"/>
  <c r="CO98"/>
  <c r="CC42"/>
  <c r="CC49"/>
  <c r="CE46"/>
  <c r="CB47"/>
  <c r="BW98"/>
  <c r="CE53"/>
  <c r="DL57"/>
  <c r="CB40"/>
  <c r="CF96"/>
  <c r="CB68"/>
  <c r="BY96"/>
  <c r="CB69"/>
  <c r="DK69" s="1"/>
  <c r="DK55"/>
  <c r="CP96"/>
  <c r="CB64"/>
  <c r="CB41"/>
  <c r="CM98"/>
  <c r="CU96"/>
  <c r="CV97"/>
  <c r="CD48"/>
  <c r="CC55"/>
  <c r="CC50"/>
  <c r="DL50" s="1"/>
  <c r="BX97"/>
  <c r="CE98"/>
  <c r="CK96"/>
  <c r="CA98"/>
  <c r="CY97"/>
  <c r="DK49"/>
  <c r="CW97"/>
  <c r="CD98"/>
  <c r="CN96"/>
  <c r="CB59"/>
  <c r="CC98"/>
  <c r="CQ96"/>
  <c r="CS98"/>
  <c r="CC62"/>
  <c r="BZ95"/>
  <c r="CG98"/>
  <c r="DL48"/>
  <c r="DM48" s="1"/>
  <c r="CB43"/>
  <c r="DK42"/>
  <c r="DM53"/>
  <c r="DJ59"/>
  <c r="CX97"/>
  <c r="CI97"/>
  <c r="DJ40"/>
  <c r="CE61"/>
  <c r="CB67"/>
  <c r="CC65"/>
  <c r="CH97"/>
  <c r="DJ44"/>
  <c r="CR97"/>
  <c r="CB51"/>
  <c r="CL98"/>
  <c r="DJ51"/>
  <c r="DK51" s="1"/>
  <c r="CC66"/>
  <c r="CC60"/>
  <c r="CT98"/>
  <c r="CB98"/>
  <c r="CD58"/>
  <c r="DM58" s="1"/>
  <c r="DJ64"/>
  <c r="CE63"/>
  <c r="DN63" s="1"/>
  <c r="CF56"/>
  <c r="DO56" s="1"/>
  <c r="CB45"/>
  <c r="CC39"/>
  <c r="DK62"/>
  <c r="CB54"/>
  <c r="CD57"/>
  <c r="CJ98"/>
  <c r="CC52"/>
  <c r="CB44"/>
  <c r="DL60" l="1"/>
  <c r="DL62"/>
  <c r="DL65"/>
  <c r="DK41"/>
  <c r="DM57"/>
  <c r="DK59"/>
  <c r="DK40"/>
  <c r="DL42"/>
  <c r="CN95"/>
  <c r="CF46"/>
  <c r="CC67"/>
  <c r="CU95"/>
  <c r="CC44"/>
  <c r="DK44"/>
  <c r="CG97"/>
  <c r="CQ95"/>
  <c r="CD97"/>
  <c r="CP95"/>
  <c r="CD49"/>
  <c r="CC45"/>
  <c r="CO97"/>
  <c r="CD66"/>
  <c r="CC68"/>
  <c r="CB97"/>
  <c r="CC54"/>
  <c r="DK45"/>
  <c r="CF61"/>
  <c r="CK95"/>
  <c r="CD55"/>
  <c r="CM97"/>
  <c r="CF95"/>
  <c r="BW97"/>
  <c r="DK67"/>
  <c r="CF63"/>
  <c r="DO63" s="1"/>
  <c r="CT97"/>
  <c r="CL97"/>
  <c r="CH96"/>
  <c r="DN53"/>
  <c r="BZ94"/>
  <c r="CC97"/>
  <c r="CW96"/>
  <c r="DL55"/>
  <c r="DM55" s="1"/>
  <c r="CD42"/>
  <c r="DK54"/>
  <c r="CE57"/>
  <c r="CX96"/>
  <c r="CF53"/>
  <c r="CD52"/>
  <c r="DN46"/>
  <c r="CE97"/>
  <c r="CE48"/>
  <c r="CC69"/>
  <c r="CC40"/>
  <c r="CC47"/>
  <c r="CR96"/>
  <c r="CC64"/>
  <c r="DN48"/>
  <c r="CA97"/>
  <c r="CG56"/>
  <c r="CD39"/>
  <c r="DM39" s="1"/>
  <c r="DK64"/>
  <c r="CD60"/>
  <c r="CC51"/>
  <c r="DL51" s="1"/>
  <c r="CD65"/>
  <c r="CC43"/>
  <c r="CD62"/>
  <c r="CC59"/>
  <c r="DL49"/>
  <c r="CC41"/>
  <c r="DK47"/>
  <c r="DN61"/>
  <c r="DO61" s="1"/>
  <c r="DN58"/>
  <c r="CS97"/>
  <c r="CD50"/>
  <c r="CJ97"/>
  <c r="CE58"/>
  <c r="CI96"/>
  <c r="CY96"/>
  <c r="BX96"/>
  <c r="CV96"/>
  <c r="BY95"/>
  <c r="DK68"/>
  <c r="DK43"/>
  <c r="DL66"/>
  <c r="DL52"/>
  <c r="DM60" l="1"/>
  <c r="DM62"/>
  <c r="DN62" s="1"/>
  <c r="DM42"/>
  <c r="DM52"/>
  <c r="DO53"/>
  <c r="DL45"/>
  <c r="DL44"/>
  <c r="DL59"/>
  <c r="DL67"/>
  <c r="DL68"/>
  <c r="CE49"/>
  <c r="CJ96"/>
  <c r="CX95"/>
  <c r="CE55"/>
  <c r="CD43"/>
  <c r="CO96"/>
  <c r="DL43"/>
  <c r="DM43" s="1"/>
  <c r="CY95"/>
  <c r="CE50"/>
  <c r="CD41"/>
  <c r="DL64"/>
  <c r="DO46"/>
  <c r="CF57"/>
  <c r="CL96"/>
  <c r="BW96"/>
  <c r="CK94"/>
  <c r="CD44"/>
  <c r="CN94"/>
  <c r="DL47"/>
  <c r="CD69"/>
  <c r="CC96"/>
  <c r="CB96"/>
  <c r="CD96"/>
  <c r="CG46"/>
  <c r="CP94"/>
  <c r="CD64"/>
  <c r="BY94"/>
  <c r="CI95"/>
  <c r="DL41"/>
  <c r="DM49"/>
  <c r="CE65"/>
  <c r="CE52"/>
  <c r="DN57"/>
  <c r="CT96"/>
  <c r="CF94"/>
  <c r="CD45"/>
  <c r="DM45" s="1"/>
  <c r="CU94"/>
  <c r="DM50"/>
  <c r="DN50" s="1"/>
  <c r="CD47"/>
  <c r="CE96"/>
  <c r="CE66"/>
  <c r="CG96"/>
  <c r="BX95"/>
  <c r="DM66"/>
  <c r="CD40"/>
  <c r="CE39"/>
  <c r="CS96"/>
  <c r="CD59"/>
  <c r="CH56"/>
  <c r="CR95"/>
  <c r="CF48"/>
  <c r="DO48" s="1"/>
  <c r="DL54"/>
  <c r="BZ93"/>
  <c r="CG61"/>
  <c r="DP61" s="1"/>
  <c r="CD68"/>
  <c r="CQ94"/>
  <c r="DP56"/>
  <c r="CE62"/>
  <c r="CA96"/>
  <c r="CE60"/>
  <c r="CH95"/>
  <c r="CW95"/>
  <c r="CD54"/>
  <c r="DL40"/>
  <c r="CV95"/>
  <c r="CF58"/>
  <c r="CD51"/>
  <c r="DM51" s="1"/>
  <c r="CG53"/>
  <c r="CE42"/>
  <c r="CG63"/>
  <c r="DP63" s="1"/>
  <c r="CM96"/>
  <c r="DL69"/>
  <c r="DM69" s="1"/>
  <c r="CD67"/>
  <c r="DM65"/>
  <c r="DN52" l="1"/>
  <c r="DN42"/>
  <c r="DM64"/>
  <c r="DN49"/>
  <c r="DM44"/>
  <c r="DM67"/>
  <c r="DN65"/>
  <c r="DM41"/>
  <c r="DO57"/>
  <c r="CE47"/>
  <c r="DO62"/>
  <c r="CR94"/>
  <c r="CL95"/>
  <c r="CF42"/>
  <c r="CV94"/>
  <c r="CH94"/>
  <c r="BZ92"/>
  <c r="CE40"/>
  <c r="CF66"/>
  <c r="CU93"/>
  <c r="CH46"/>
  <c r="CC95"/>
  <c r="CF50"/>
  <c r="DO50" s="1"/>
  <c r="CE43"/>
  <c r="DN43" s="1"/>
  <c r="CF49"/>
  <c r="CM95"/>
  <c r="CE68"/>
  <c r="DM68"/>
  <c r="CX94"/>
  <c r="CF39"/>
  <c r="CF62"/>
  <c r="CI56"/>
  <c r="CI94"/>
  <c r="CE67"/>
  <c r="DQ56"/>
  <c r="CE59"/>
  <c r="CF52"/>
  <c r="BY93"/>
  <c r="CE44"/>
  <c r="CG57"/>
  <c r="BX94"/>
  <c r="CW94"/>
  <c r="CN93"/>
  <c r="CH53"/>
  <c r="DM40"/>
  <c r="CF60"/>
  <c r="CQ93"/>
  <c r="DM54"/>
  <c r="DN66"/>
  <c r="DO66" s="1"/>
  <c r="CE95"/>
  <c r="CE45"/>
  <c r="CE69"/>
  <c r="CY94"/>
  <c r="CF55"/>
  <c r="DP53"/>
  <c r="DN69"/>
  <c r="CE54"/>
  <c r="CG48"/>
  <c r="CS95"/>
  <c r="CF65"/>
  <c r="CE64"/>
  <c r="CK93"/>
  <c r="DP46"/>
  <c r="DN60"/>
  <c r="CE51"/>
  <c r="CF93"/>
  <c r="CD95"/>
  <c r="CA95"/>
  <c r="CP93"/>
  <c r="DM47"/>
  <c r="DN47" s="1"/>
  <c r="BW95"/>
  <c r="CO95"/>
  <c r="DN39"/>
  <c r="CH63"/>
  <c r="DQ63" s="1"/>
  <c r="CG58"/>
  <c r="CH61"/>
  <c r="CG95"/>
  <c r="DO58"/>
  <c r="CT95"/>
  <c r="CB95"/>
  <c r="DN55"/>
  <c r="DO55" s="1"/>
  <c r="CE41"/>
  <c r="CJ95"/>
  <c r="DM59"/>
  <c r="DO52" l="1"/>
  <c r="DO42"/>
  <c r="DO49"/>
  <c r="DQ53"/>
  <c r="DO60"/>
  <c r="DQ46"/>
  <c r="DN41"/>
  <c r="DO65"/>
  <c r="DN67"/>
  <c r="DO39"/>
  <c r="DN68"/>
  <c r="CU92"/>
  <c r="DP55"/>
  <c r="CF44"/>
  <c r="BW94"/>
  <c r="CS94"/>
  <c r="DN44"/>
  <c r="CF45"/>
  <c r="CG60"/>
  <c r="CW93"/>
  <c r="CF67"/>
  <c r="CG39"/>
  <c r="CF40"/>
  <c r="CG42"/>
  <c r="CF51"/>
  <c r="CH57"/>
  <c r="DR56"/>
  <c r="CM94"/>
  <c r="CJ94"/>
  <c r="CK92"/>
  <c r="BY92"/>
  <c r="CG49"/>
  <c r="CI46"/>
  <c r="CH93"/>
  <c r="DN54"/>
  <c r="DO54" s="1"/>
  <c r="CC94"/>
  <c r="DN59"/>
  <c r="CH58"/>
  <c r="CT94"/>
  <c r="CD94"/>
  <c r="CI63"/>
  <c r="CH48"/>
  <c r="CG55"/>
  <c r="CE94"/>
  <c r="DN40"/>
  <c r="CI93"/>
  <c r="CX93"/>
  <c r="BZ91"/>
  <c r="CF47"/>
  <c r="DO47" s="1"/>
  <c r="CG94"/>
  <c r="CF64"/>
  <c r="CF54"/>
  <c r="CJ56"/>
  <c r="CN92"/>
  <c r="DN64"/>
  <c r="DO64" s="1"/>
  <c r="CR93"/>
  <c r="CF41"/>
  <c r="DP58"/>
  <c r="CP92"/>
  <c r="CF92"/>
  <c r="DN45"/>
  <c r="CI53"/>
  <c r="BX93"/>
  <c r="CG52"/>
  <c r="CF43"/>
  <c r="DO43" s="1"/>
  <c r="DP57"/>
  <c r="CL94"/>
  <c r="CY93"/>
  <c r="CO94"/>
  <c r="CF59"/>
  <c r="CF68"/>
  <c r="CG50"/>
  <c r="DN51"/>
  <c r="DO51" s="1"/>
  <c r="CB94"/>
  <c r="CI61"/>
  <c r="CA94"/>
  <c r="CG65"/>
  <c r="CF69"/>
  <c r="DO69" s="1"/>
  <c r="CQ92"/>
  <c r="CG62"/>
  <c r="DP62" s="1"/>
  <c r="CG66"/>
  <c r="DP66" s="1"/>
  <c r="CV93"/>
  <c r="DP48"/>
  <c r="DQ61"/>
  <c r="DR61" s="1"/>
  <c r="DP49" l="1"/>
  <c r="DP52"/>
  <c r="DR53"/>
  <c r="DS53" s="1"/>
  <c r="DP60"/>
  <c r="DO40"/>
  <c r="DQ58"/>
  <c r="DO41"/>
  <c r="DO68"/>
  <c r="DO67"/>
  <c r="DQ48"/>
  <c r="DO44"/>
  <c r="CH39"/>
  <c r="CJ53"/>
  <c r="CG47"/>
  <c r="DP47" s="1"/>
  <c r="CJ63"/>
  <c r="CH65"/>
  <c r="DQ57"/>
  <c r="CE93"/>
  <c r="CJ46"/>
  <c r="CG44"/>
  <c r="CA93"/>
  <c r="CH50"/>
  <c r="CF91"/>
  <c r="CH55"/>
  <c r="CH49"/>
  <c r="CH42"/>
  <c r="CW92"/>
  <c r="CL93"/>
  <c r="CH66"/>
  <c r="DQ66" s="1"/>
  <c r="CK56"/>
  <c r="CY92"/>
  <c r="CH52"/>
  <c r="CG64"/>
  <c r="DP64" s="1"/>
  <c r="CX92"/>
  <c r="CT93"/>
  <c r="CM93"/>
  <c r="DQ55"/>
  <c r="CJ61"/>
  <c r="CG68"/>
  <c r="CP91"/>
  <c r="CN91"/>
  <c r="CI48"/>
  <c r="CH92"/>
  <c r="BY91"/>
  <c r="CG40"/>
  <c r="CH60"/>
  <c r="DR63"/>
  <c r="CU91"/>
  <c r="CB93"/>
  <c r="CG45"/>
  <c r="CG41"/>
  <c r="DO59"/>
  <c r="CQ91"/>
  <c r="DR46"/>
  <c r="DS46" s="1"/>
  <c r="CV92"/>
  <c r="CG69"/>
  <c r="DP39"/>
  <c r="BX92"/>
  <c r="CG93"/>
  <c r="CI92"/>
  <c r="CI58"/>
  <c r="DS56"/>
  <c r="BW93"/>
  <c r="CG59"/>
  <c r="CI57"/>
  <c r="CK91"/>
  <c r="CO93"/>
  <c r="CC93"/>
  <c r="CG51"/>
  <c r="DP51" s="1"/>
  <c r="CG67"/>
  <c r="DP65"/>
  <c r="CH62"/>
  <c r="DQ62" s="1"/>
  <c r="DP42"/>
  <c r="CG43"/>
  <c r="DP43" s="1"/>
  <c r="DO45"/>
  <c r="CR92"/>
  <c r="CG54"/>
  <c r="DP54" s="1"/>
  <c r="BZ90"/>
  <c r="CD93"/>
  <c r="CJ93"/>
  <c r="CS93"/>
  <c r="DP50"/>
  <c r="DQ50" s="1"/>
  <c r="DQ49" l="1"/>
  <c r="DQ60"/>
  <c r="DP40"/>
  <c r="DQ65"/>
  <c r="DP45"/>
  <c r="DS63"/>
  <c r="DQ42"/>
  <c r="DR42" s="1"/>
  <c r="DT56"/>
  <c r="DP41"/>
  <c r="DP68"/>
  <c r="DR48"/>
  <c r="DP44"/>
  <c r="DR57"/>
  <c r="DS57" s="1"/>
  <c r="DQ39"/>
  <c r="DR39" s="1"/>
  <c r="DQ54"/>
  <c r="BZ89"/>
  <c r="BX91"/>
  <c r="CI39"/>
  <c r="CD92"/>
  <c r="CC92"/>
  <c r="CN90"/>
  <c r="CH64"/>
  <c r="DQ64" s="1"/>
  <c r="CL56"/>
  <c r="CK63"/>
  <c r="CS92"/>
  <c r="CI62"/>
  <c r="DR62" s="1"/>
  <c r="CJ57"/>
  <c r="CJ58"/>
  <c r="CQ90"/>
  <c r="CB92"/>
  <c r="CK46"/>
  <c r="DT46" s="1"/>
  <c r="CH54"/>
  <c r="CO92"/>
  <c r="CH69"/>
  <c r="BY90"/>
  <c r="CP90"/>
  <c r="CM92"/>
  <c r="CI52"/>
  <c r="CI66"/>
  <c r="CI42"/>
  <c r="CI50"/>
  <c r="CH47"/>
  <c r="DR58"/>
  <c r="DR50"/>
  <c r="CH40"/>
  <c r="CW91"/>
  <c r="CJ92"/>
  <c r="CR91"/>
  <c r="CI91"/>
  <c r="DP59"/>
  <c r="CU90"/>
  <c r="CE92"/>
  <c r="CF90"/>
  <c r="CH67"/>
  <c r="CH59"/>
  <c r="CV91"/>
  <c r="CH41"/>
  <c r="CH91"/>
  <c r="CH68"/>
  <c r="CT92"/>
  <c r="CY91"/>
  <c r="DR66"/>
  <c r="CI49"/>
  <c r="CA92"/>
  <c r="CK53"/>
  <c r="DQ52"/>
  <c r="CG92"/>
  <c r="CH43"/>
  <c r="DQ43" s="1"/>
  <c r="CH51"/>
  <c r="DQ51" s="1"/>
  <c r="CK90"/>
  <c r="BW92"/>
  <c r="CH45"/>
  <c r="CI60"/>
  <c r="CJ48"/>
  <c r="CK61"/>
  <c r="CX91"/>
  <c r="DS61"/>
  <c r="CL92"/>
  <c r="CI55"/>
  <c r="DR55" s="1"/>
  <c r="CH44"/>
  <c r="CI65"/>
  <c r="DP69"/>
  <c r="DP67"/>
  <c r="DR49" l="1"/>
  <c r="DQ45"/>
  <c r="DT63"/>
  <c r="DU56"/>
  <c r="DR65"/>
  <c r="DQ59"/>
  <c r="DQ67"/>
  <c r="CL53"/>
  <c r="CI47"/>
  <c r="CI69"/>
  <c r="CL61"/>
  <c r="CI68"/>
  <c r="CI40"/>
  <c r="CL91"/>
  <c r="CK89"/>
  <c r="CG91"/>
  <c r="CJ49"/>
  <c r="DS49" s="1"/>
  <c r="CE91"/>
  <c r="CJ42"/>
  <c r="CP89"/>
  <c r="CI54"/>
  <c r="CB91"/>
  <c r="CD91"/>
  <c r="DQ47"/>
  <c r="CI44"/>
  <c r="CK48"/>
  <c r="CM56"/>
  <c r="CJ60"/>
  <c r="CR90"/>
  <c r="DQ40"/>
  <c r="CJ62"/>
  <c r="CI64"/>
  <c r="CJ52"/>
  <c r="BX90"/>
  <c r="CI59"/>
  <c r="CK57"/>
  <c r="DQ69"/>
  <c r="CH90"/>
  <c r="CJ65"/>
  <c r="DT61"/>
  <c r="CI51"/>
  <c r="CI67"/>
  <c r="CU89"/>
  <c r="CJ66"/>
  <c r="BY89"/>
  <c r="DQ44"/>
  <c r="CQ89"/>
  <c r="CJ39"/>
  <c r="DS39" s="1"/>
  <c r="CI43"/>
  <c r="DS42"/>
  <c r="CX90"/>
  <c r="CI45"/>
  <c r="DR52"/>
  <c r="CY90"/>
  <c r="CI41"/>
  <c r="CJ91"/>
  <c r="DS58"/>
  <c r="DT58" s="1"/>
  <c r="DS48"/>
  <c r="CS91"/>
  <c r="CN89"/>
  <c r="DQ68"/>
  <c r="CF89"/>
  <c r="CT91"/>
  <c r="CV90"/>
  <c r="CI90"/>
  <c r="CW90"/>
  <c r="CL46"/>
  <c r="DU46" s="1"/>
  <c r="CK58"/>
  <c r="CL63"/>
  <c r="DR64"/>
  <c r="DR54"/>
  <c r="CJ55"/>
  <c r="BW91"/>
  <c r="DQ41"/>
  <c r="CA91"/>
  <c r="DT53"/>
  <c r="DU53" s="1"/>
  <c r="CJ50"/>
  <c r="CM91"/>
  <c r="CO91"/>
  <c r="CC91"/>
  <c r="BZ88"/>
  <c r="DR60"/>
  <c r="DR45" l="1"/>
  <c r="DU63"/>
  <c r="DU61"/>
  <c r="DR68"/>
  <c r="DS68" s="1"/>
  <c r="CJ51"/>
  <c r="CE90"/>
  <c r="CM90"/>
  <c r="CL58"/>
  <c r="DU58" s="1"/>
  <c r="CJ41"/>
  <c r="CU88"/>
  <c r="CJ59"/>
  <c r="CJ44"/>
  <c r="CJ47"/>
  <c r="DS60"/>
  <c r="CP88"/>
  <c r="CG90"/>
  <c r="CF88"/>
  <c r="CR89"/>
  <c r="CV89"/>
  <c r="CK60"/>
  <c r="CK50"/>
  <c r="CT90"/>
  <c r="CH89"/>
  <c r="CK62"/>
  <c r="CN56"/>
  <c r="DR47"/>
  <c r="CJ68"/>
  <c r="CM53"/>
  <c r="CL57"/>
  <c r="CL48"/>
  <c r="BW90"/>
  <c r="CN88"/>
  <c r="CQ88"/>
  <c r="CK65"/>
  <c r="CJ64"/>
  <c r="DS64" s="1"/>
  <c r="CJ40"/>
  <c r="BZ87"/>
  <c r="CK55"/>
  <c r="CM46"/>
  <c r="CS90"/>
  <c r="CY89"/>
  <c r="DR44"/>
  <c r="CJ67"/>
  <c r="DT57"/>
  <c r="DV56"/>
  <c r="BY88"/>
  <c r="BX89"/>
  <c r="CD90"/>
  <c r="CK42"/>
  <c r="CK88"/>
  <c r="CK66"/>
  <c r="CL90"/>
  <c r="CC90"/>
  <c r="DV53"/>
  <c r="CW89"/>
  <c r="DT48"/>
  <c r="DS52"/>
  <c r="CJ43"/>
  <c r="DS66"/>
  <c r="DT66" s="1"/>
  <c r="DR69"/>
  <c r="DR40"/>
  <c r="CM61"/>
  <c r="CA90"/>
  <c r="CJ45"/>
  <c r="CK52"/>
  <c r="CB90"/>
  <c r="CO90"/>
  <c r="CM63"/>
  <c r="CI89"/>
  <c r="CJ90"/>
  <c r="CK39"/>
  <c r="CJ69"/>
  <c r="DS65"/>
  <c r="DT65" s="1"/>
  <c r="DR41"/>
  <c r="CX89"/>
  <c r="DS50"/>
  <c r="DS55"/>
  <c r="DR59"/>
  <c r="DR51"/>
  <c r="DS51" s="1"/>
  <c r="DS62"/>
  <c r="CJ54"/>
  <c r="CK49"/>
  <c r="DT49" s="1"/>
  <c r="DR67"/>
  <c r="DS67" s="1"/>
  <c r="DR43"/>
  <c r="DV63" l="1"/>
  <c r="DW56"/>
  <c r="DS59"/>
  <c r="DT50"/>
  <c r="DS41"/>
  <c r="DT41" s="1"/>
  <c r="DV61"/>
  <c r="DU57"/>
  <c r="DS47"/>
  <c r="DT55"/>
  <c r="DU55" s="1"/>
  <c r="DU48"/>
  <c r="DV48" s="1"/>
  <c r="CO89"/>
  <c r="CL60"/>
  <c r="CL42"/>
  <c r="CI88"/>
  <c r="CL55"/>
  <c r="CL65"/>
  <c r="CM48"/>
  <c r="CT89"/>
  <c r="CR88"/>
  <c r="DT42"/>
  <c r="CU87"/>
  <c r="CE89"/>
  <c r="CK40"/>
  <c r="CM58"/>
  <c r="DV58" s="1"/>
  <c r="CK54"/>
  <c r="CL52"/>
  <c r="CW88"/>
  <c r="CL66"/>
  <c r="DU66" s="1"/>
  <c r="BX88"/>
  <c r="DS44"/>
  <c r="DT60"/>
  <c r="CG89"/>
  <c r="CX88"/>
  <c r="CK43"/>
  <c r="DS43"/>
  <c r="CK69"/>
  <c r="DS40"/>
  <c r="CY88"/>
  <c r="BZ86"/>
  <c r="CQ87"/>
  <c r="CM57"/>
  <c r="CO56"/>
  <c r="CL50"/>
  <c r="CF87"/>
  <c r="CK47"/>
  <c r="CK41"/>
  <c r="CK51"/>
  <c r="DT51" s="1"/>
  <c r="CS89"/>
  <c r="CC89"/>
  <c r="CN63"/>
  <c r="CL49"/>
  <c r="DU49" s="1"/>
  <c r="CK45"/>
  <c r="DS69"/>
  <c r="DS54"/>
  <c r="DT54" s="1"/>
  <c r="CK87"/>
  <c r="BY87"/>
  <c r="CN87"/>
  <c r="CK44"/>
  <c r="CA89"/>
  <c r="CJ89"/>
  <c r="CN46"/>
  <c r="CK64"/>
  <c r="BW89"/>
  <c r="CH88"/>
  <c r="CV88"/>
  <c r="CP87"/>
  <c r="CK59"/>
  <c r="CM89"/>
  <c r="DS45"/>
  <c r="DT45" s="1"/>
  <c r="CL39"/>
  <c r="CL62"/>
  <c r="CN53"/>
  <c r="DT39"/>
  <c r="DT62"/>
  <c r="CB89"/>
  <c r="CN61"/>
  <c r="DT52"/>
  <c r="DU52" s="1"/>
  <c r="CL89"/>
  <c r="CD89"/>
  <c r="CK67"/>
  <c r="DT67" s="1"/>
  <c r="CK68"/>
  <c r="DV46"/>
  <c r="DW63" l="1"/>
  <c r="DT59"/>
  <c r="DU50"/>
  <c r="DX56"/>
  <c r="DV57"/>
  <c r="DU42"/>
  <c r="DT47"/>
  <c r="DW46"/>
  <c r="DU62"/>
  <c r="DU60"/>
  <c r="CV87"/>
  <c r="CO46"/>
  <c r="CF86"/>
  <c r="CQ86"/>
  <c r="CN58"/>
  <c r="DW58" s="1"/>
  <c r="CM65"/>
  <c r="CG88"/>
  <c r="CN86"/>
  <c r="DT69"/>
  <c r="CW87"/>
  <c r="CM42"/>
  <c r="CL44"/>
  <c r="CO61"/>
  <c r="CO53"/>
  <c r="CM88"/>
  <c r="CH87"/>
  <c r="CL45"/>
  <c r="CL51"/>
  <c r="CM50"/>
  <c r="BZ85"/>
  <c r="DT43"/>
  <c r="DU43" s="1"/>
  <c r="CL40"/>
  <c r="CR87"/>
  <c r="CM55"/>
  <c r="CL88"/>
  <c r="CO63"/>
  <c r="CU86"/>
  <c r="CL68"/>
  <c r="CJ88"/>
  <c r="DW53"/>
  <c r="DX53" s="1"/>
  <c r="CL43"/>
  <c r="CM52"/>
  <c r="DV52" s="1"/>
  <c r="CM60"/>
  <c r="CB88"/>
  <c r="CL59"/>
  <c r="BW88"/>
  <c r="BY86"/>
  <c r="DW61"/>
  <c r="CC88"/>
  <c r="CL41"/>
  <c r="DU41" s="1"/>
  <c r="CP56"/>
  <c r="CY87"/>
  <c r="DT44"/>
  <c r="CT88"/>
  <c r="CL69"/>
  <c r="DU39"/>
  <c r="CL67"/>
  <c r="DU67" s="1"/>
  <c r="CD88"/>
  <c r="CM62"/>
  <c r="CA88"/>
  <c r="CM49"/>
  <c r="DV49" s="1"/>
  <c r="CX87"/>
  <c r="BX87"/>
  <c r="DU65"/>
  <c r="CE88"/>
  <c r="CI87"/>
  <c r="CO88"/>
  <c r="CM39"/>
  <c r="CS88"/>
  <c r="CM66"/>
  <c r="DT68"/>
  <c r="CP86"/>
  <c r="CL64"/>
  <c r="CK86"/>
  <c r="DT64"/>
  <c r="CL47"/>
  <c r="CN57"/>
  <c r="DT40"/>
  <c r="CL54"/>
  <c r="CN48"/>
  <c r="DY56" l="1"/>
  <c r="DZ56" s="1"/>
  <c r="DW57"/>
  <c r="DX46"/>
  <c r="DU44"/>
  <c r="DV44" s="1"/>
  <c r="DV65"/>
  <c r="DU68"/>
  <c r="DX61"/>
  <c r="CP85"/>
  <c r="BY85"/>
  <c r="CN42"/>
  <c r="CM47"/>
  <c r="BX86"/>
  <c r="CN62"/>
  <c r="CQ56"/>
  <c r="CN85"/>
  <c r="CV86"/>
  <c r="CM51"/>
  <c r="CO48"/>
  <c r="CO87"/>
  <c r="DV62"/>
  <c r="BW87"/>
  <c r="CN60"/>
  <c r="CJ87"/>
  <c r="CL87"/>
  <c r="DV60"/>
  <c r="CP53"/>
  <c r="DY53" s="1"/>
  <c r="DV42"/>
  <c r="CQ85"/>
  <c r="DU64"/>
  <c r="CX86"/>
  <c r="CD87"/>
  <c r="DW48"/>
  <c r="CM41"/>
  <c r="DV41" s="1"/>
  <c r="CM45"/>
  <c r="CW86"/>
  <c r="DU45"/>
  <c r="CM40"/>
  <c r="CM54"/>
  <c r="CK85"/>
  <c r="CN66"/>
  <c r="CI86"/>
  <c r="CT87"/>
  <c r="CM59"/>
  <c r="CN52"/>
  <c r="CM68"/>
  <c r="CN55"/>
  <c r="BZ84"/>
  <c r="CP61"/>
  <c r="CG87"/>
  <c r="CF85"/>
  <c r="DU51"/>
  <c r="DV51" s="1"/>
  <c r="DU69"/>
  <c r="CN49"/>
  <c r="CM67"/>
  <c r="DV67" s="1"/>
  <c r="CC87"/>
  <c r="DU59"/>
  <c r="DV59" s="1"/>
  <c r="CM69"/>
  <c r="CM87"/>
  <c r="DU40"/>
  <c r="DV40" s="1"/>
  <c r="CS87"/>
  <c r="DU47"/>
  <c r="CU85"/>
  <c r="CR86"/>
  <c r="CN50"/>
  <c r="CH86"/>
  <c r="CM44"/>
  <c r="DV50"/>
  <c r="CN65"/>
  <c r="DU54"/>
  <c r="DV54" s="1"/>
  <c r="DV66"/>
  <c r="DW66" s="1"/>
  <c r="CN39"/>
  <c r="CP63"/>
  <c r="CO58"/>
  <c r="CM64"/>
  <c r="CE87"/>
  <c r="CO57"/>
  <c r="CA87"/>
  <c r="DV39"/>
  <c r="DW39" s="1"/>
  <c r="CY86"/>
  <c r="CB87"/>
  <c r="CM43"/>
  <c r="DV55"/>
  <c r="CP46"/>
  <c r="DY46" s="1"/>
  <c r="DX63"/>
  <c r="DY63" s="1"/>
  <c r="DX57" l="1"/>
  <c r="DW62"/>
  <c r="DY61"/>
  <c r="DV68"/>
  <c r="DW55"/>
  <c r="DW42"/>
  <c r="DX42" s="1"/>
  <c r="CO65"/>
  <c r="CT86"/>
  <c r="CN44"/>
  <c r="DW44" s="1"/>
  <c r="CU84"/>
  <c r="CM86"/>
  <c r="CN41"/>
  <c r="DW41" s="1"/>
  <c r="DV64"/>
  <c r="CL86"/>
  <c r="DW65"/>
  <c r="CO62"/>
  <c r="BY84"/>
  <c r="CN47"/>
  <c r="CE86"/>
  <c r="CO39"/>
  <c r="DX39" s="1"/>
  <c r="CO49"/>
  <c r="CQ61"/>
  <c r="CO52"/>
  <c r="CO66"/>
  <c r="DX66" s="1"/>
  <c r="CO86"/>
  <c r="CV85"/>
  <c r="CP48"/>
  <c r="CP58"/>
  <c r="CC86"/>
  <c r="CY85"/>
  <c r="CH85"/>
  <c r="DV47"/>
  <c r="CN69"/>
  <c r="DV45"/>
  <c r="DX48"/>
  <c r="DY48" s="1"/>
  <c r="CQ84"/>
  <c r="CJ86"/>
  <c r="BX85"/>
  <c r="CP84"/>
  <c r="CO50"/>
  <c r="CQ46"/>
  <c r="CN64"/>
  <c r="DV69"/>
  <c r="BZ83"/>
  <c r="CN59"/>
  <c r="DW59" s="1"/>
  <c r="CK84"/>
  <c r="CW85"/>
  <c r="CD86"/>
  <c r="CN84"/>
  <c r="CO60"/>
  <c r="CN43"/>
  <c r="CS86"/>
  <c r="CF84"/>
  <c r="CN54"/>
  <c r="DW54" s="1"/>
  <c r="CN45"/>
  <c r="CX85"/>
  <c r="CQ53"/>
  <c r="CR85"/>
  <c r="BW86"/>
  <c r="CN51"/>
  <c r="CR56"/>
  <c r="CO42"/>
  <c r="DW49"/>
  <c r="CA86"/>
  <c r="CO55"/>
  <c r="CB86"/>
  <c r="CP57"/>
  <c r="CQ63"/>
  <c r="DZ63" s="1"/>
  <c r="DW50"/>
  <c r="DX50" s="1"/>
  <c r="CN67"/>
  <c r="CG86"/>
  <c r="CN68"/>
  <c r="CI85"/>
  <c r="CN40"/>
  <c r="DV43"/>
  <c r="DW43" s="1"/>
  <c r="DW52"/>
  <c r="DW60"/>
  <c r="DX60" s="1"/>
  <c r="DX58"/>
  <c r="DY58" s="1"/>
  <c r="DX62" l="1"/>
  <c r="DX65"/>
  <c r="DY65" s="1"/>
  <c r="DX52"/>
  <c r="DY52" s="1"/>
  <c r="DX49"/>
  <c r="CO69"/>
  <c r="CO43"/>
  <c r="CP55"/>
  <c r="CS56"/>
  <c r="EA56"/>
  <c r="EB56" s="1"/>
  <c r="CQ83"/>
  <c r="BY83"/>
  <c r="DW64"/>
  <c r="BX84"/>
  <c r="CR63"/>
  <c r="CR53"/>
  <c r="CF83"/>
  <c r="CK83"/>
  <c r="CY84"/>
  <c r="CP52"/>
  <c r="CE85"/>
  <c r="CO41"/>
  <c r="DX41" s="1"/>
  <c r="CT85"/>
  <c r="CB85"/>
  <c r="CA85"/>
  <c r="CO51"/>
  <c r="DX55"/>
  <c r="CO64"/>
  <c r="CP83"/>
  <c r="CV84"/>
  <c r="CP62"/>
  <c r="CR46"/>
  <c r="CO68"/>
  <c r="CG85"/>
  <c r="CQ57"/>
  <c r="CX84"/>
  <c r="CS85"/>
  <c r="CN83"/>
  <c r="CO59"/>
  <c r="DW45"/>
  <c r="CC85"/>
  <c r="CR61"/>
  <c r="DZ61"/>
  <c r="CM85"/>
  <c r="CP65"/>
  <c r="CO67"/>
  <c r="CD85"/>
  <c r="CQ58"/>
  <c r="CO47"/>
  <c r="CP42"/>
  <c r="DY42" s="1"/>
  <c r="CR84"/>
  <c r="DY57"/>
  <c r="CJ85"/>
  <c r="DW47"/>
  <c r="DX47" s="1"/>
  <c r="DW67"/>
  <c r="CL85"/>
  <c r="DZ46"/>
  <c r="BW85"/>
  <c r="CO85"/>
  <c r="CO40"/>
  <c r="CO45"/>
  <c r="BZ82"/>
  <c r="CP49"/>
  <c r="CU83"/>
  <c r="CI84"/>
  <c r="DW40"/>
  <c r="DZ53"/>
  <c r="EA53" s="1"/>
  <c r="CO54"/>
  <c r="CP60"/>
  <c r="DY60" s="1"/>
  <c r="CW84"/>
  <c r="DW69"/>
  <c r="CP50"/>
  <c r="DY50" s="1"/>
  <c r="CH84"/>
  <c r="CQ48"/>
  <c r="CP66"/>
  <c r="DY66" s="1"/>
  <c r="CP39"/>
  <c r="DY39" s="1"/>
  <c r="DW51"/>
  <c r="DX51" s="1"/>
  <c r="CO44"/>
  <c r="DX44" s="1"/>
  <c r="DW68"/>
  <c r="DY62" l="1"/>
  <c r="DX67"/>
  <c r="DY55"/>
  <c r="DZ57"/>
  <c r="EA46"/>
  <c r="DX68"/>
  <c r="CQ49"/>
  <c r="CS84"/>
  <c r="CW83"/>
  <c r="CI83"/>
  <c r="CR58"/>
  <c r="DX45"/>
  <c r="DY49"/>
  <c r="CP82"/>
  <c r="BY82"/>
  <c r="CQ55"/>
  <c r="CS61"/>
  <c r="CR48"/>
  <c r="CP45"/>
  <c r="CR83"/>
  <c r="CM84"/>
  <c r="CP59"/>
  <c r="CR57"/>
  <c r="CS46"/>
  <c r="CE84"/>
  <c r="CS63"/>
  <c r="CP44"/>
  <c r="CQ60"/>
  <c r="CU82"/>
  <c r="CL84"/>
  <c r="CD84"/>
  <c r="CP64"/>
  <c r="CB84"/>
  <c r="CK82"/>
  <c r="CQ82"/>
  <c r="CP67"/>
  <c r="BX83"/>
  <c r="CQ39"/>
  <c r="CV83"/>
  <c r="CH83"/>
  <c r="CP40"/>
  <c r="CQ42"/>
  <c r="DZ42" s="1"/>
  <c r="EA61"/>
  <c r="EB61" s="1"/>
  <c r="CN82"/>
  <c r="CG84"/>
  <c r="CQ62"/>
  <c r="CQ52"/>
  <c r="DZ58"/>
  <c r="CP43"/>
  <c r="CT84"/>
  <c r="CF82"/>
  <c r="CP69"/>
  <c r="CJ84"/>
  <c r="CP47"/>
  <c r="EA63"/>
  <c r="CC84"/>
  <c r="CP68"/>
  <c r="CY83"/>
  <c r="DX59"/>
  <c r="DY59" s="1"/>
  <c r="CT56"/>
  <c r="CP54"/>
  <c r="CQ50"/>
  <c r="CO84"/>
  <c r="CP51"/>
  <c r="DX54"/>
  <c r="DY54" s="1"/>
  <c r="CQ66"/>
  <c r="DX69"/>
  <c r="DX40"/>
  <c r="BZ81"/>
  <c r="BW84"/>
  <c r="CQ65"/>
  <c r="CX83"/>
  <c r="DZ48"/>
  <c r="CA84"/>
  <c r="CP41"/>
  <c r="CS53"/>
  <c r="DX64"/>
  <c r="DX43"/>
  <c r="DZ62" l="1"/>
  <c r="EA57"/>
  <c r="EA48"/>
  <c r="DY68"/>
  <c r="EB63"/>
  <c r="DY43"/>
  <c r="DY64"/>
  <c r="EA58"/>
  <c r="DY40"/>
  <c r="BZ80"/>
  <c r="CQ51"/>
  <c r="CC83"/>
  <c r="CQ69"/>
  <c r="CG83"/>
  <c r="CB83"/>
  <c r="CU81"/>
  <c r="CT63"/>
  <c r="CQ59"/>
  <c r="CR55"/>
  <c r="CS58"/>
  <c r="CU56"/>
  <c r="CQ43"/>
  <c r="CH82"/>
  <c r="CQ67"/>
  <c r="CS48"/>
  <c r="CR49"/>
  <c r="CO83"/>
  <c r="CF81"/>
  <c r="CN81"/>
  <c r="CQ64"/>
  <c r="CR60"/>
  <c r="CE83"/>
  <c r="CM83"/>
  <c r="BY81"/>
  <c r="CT53"/>
  <c r="DY69"/>
  <c r="DZ69" s="1"/>
  <c r="DZ59"/>
  <c r="CQ47"/>
  <c r="CV82"/>
  <c r="DY51"/>
  <c r="CI82"/>
  <c r="DZ55"/>
  <c r="EA55" s="1"/>
  <c r="CR66"/>
  <c r="CR50"/>
  <c r="CY82"/>
  <c r="CT83"/>
  <c r="CR52"/>
  <c r="CQ81"/>
  <c r="CD83"/>
  <c r="CQ44"/>
  <c r="CT46"/>
  <c r="CR82"/>
  <c r="CP81"/>
  <c r="DZ50"/>
  <c r="CR65"/>
  <c r="CQ41"/>
  <c r="CJ83"/>
  <c r="CR42"/>
  <c r="CR39"/>
  <c r="CT61"/>
  <c r="CW82"/>
  <c r="DZ66"/>
  <c r="CX82"/>
  <c r="BW83"/>
  <c r="DY41"/>
  <c r="EC56"/>
  <c r="CQ68"/>
  <c r="DY47"/>
  <c r="DZ47" s="1"/>
  <c r="CR62"/>
  <c r="CK81"/>
  <c r="CL83"/>
  <c r="DZ52"/>
  <c r="CS57"/>
  <c r="EB46"/>
  <c r="EC46" s="1"/>
  <c r="DZ49"/>
  <c r="EA49" s="1"/>
  <c r="DZ60"/>
  <c r="CA83"/>
  <c r="CQ54"/>
  <c r="DZ54" s="1"/>
  <c r="EB53"/>
  <c r="DZ65"/>
  <c r="EA65" s="1"/>
  <c r="CQ40"/>
  <c r="BX82"/>
  <c r="DY44"/>
  <c r="CQ45"/>
  <c r="DY67"/>
  <c r="DY45"/>
  <c r="CS83"/>
  <c r="DZ39"/>
  <c r="EA62" l="1"/>
  <c r="DZ64"/>
  <c r="EC53"/>
  <c r="EA39"/>
  <c r="DZ41"/>
  <c r="EA60"/>
  <c r="DZ51"/>
  <c r="EA51" s="1"/>
  <c r="ED56"/>
  <c r="DZ67"/>
  <c r="DZ40"/>
  <c r="EB58"/>
  <c r="DZ44"/>
  <c r="EA50"/>
  <c r="EA66"/>
  <c r="DZ45"/>
  <c r="EA52"/>
  <c r="CT57"/>
  <c r="CX81"/>
  <c r="CS52"/>
  <c r="CS66"/>
  <c r="BY80"/>
  <c r="CR64"/>
  <c r="CC82"/>
  <c r="CS42"/>
  <c r="CR44"/>
  <c r="CR47"/>
  <c r="EA47" s="1"/>
  <c r="CS49"/>
  <c r="EB49" s="1"/>
  <c r="CR43"/>
  <c r="CS55"/>
  <c r="CB82"/>
  <c r="CA82"/>
  <c r="CT82"/>
  <c r="EB55"/>
  <c r="CM82"/>
  <c r="CN80"/>
  <c r="CR51"/>
  <c r="BX81"/>
  <c r="CS82"/>
  <c r="CR68"/>
  <c r="CR40"/>
  <c r="CL82"/>
  <c r="CW81"/>
  <c r="CJ82"/>
  <c r="CP80"/>
  <c r="CD82"/>
  <c r="CI81"/>
  <c r="CT48"/>
  <c r="CV56"/>
  <c r="CR59"/>
  <c r="EA59" s="1"/>
  <c r="CG82"/>
  <c r="CY81"/>
  <c r="CE82"/>
  <c r="CF80"/>
  <c r="BZ79"/>
  <c r="CK80"/>
  <c r="CU61"/>
  <c r="CR41"/>
  <c r="EA41" s="1"/>
  <c r="CR81"/>
  <c r="CQ80"/>
  <c r="CU53"/>
  <c r="CR67"/>
  <c r="EB48"/>
  <c r="CU63"/>
  <c r="CR45"/>
  <c r="BW82"/>
  <c r="CS50"/>
  <c r="CV81"/>
  <c r="CS60"/>
  <c r="EC63"/>
  <c r="ED63" s="1"/>
  <c r="DZ43"/>
  <c r="CR69"/>
  <c r="EA69" s="1"/>
  <c r="DZ68"/>
  <c r="EA68" s="1"/>
  <c r="CR54"/>
  <c r="CS62"/>
  <c r="CS39"/>
  <c r="CS65"/>
  <c r="EB65" s="1"/>
  <c r="CU46"/>
  <c r="EC61"/>
  <c r="EB57"/>
  <c r="EC57" s="1"/>
  <c r="CO82"/>
  <c r="CH81"/>
  <c r="CT58"/>
  <c r="CU80"/>
  <c r="EA42"/>
  <c r="ED53" l="1"/>
  <c r="EA64"/>
  <c r="EC48"/>
  <c r="EA67"/>
  <c r="EA45"/>
  <c r="EB66"/>
  <c r="EA40"/>
  <c r="EC58"/>
  <c r="EA44"/>
  <c r="EB42"/>
  <c r="CT39"/>
  <c r="CV61"/>
  <c r="CF79"/>
  <c r="CU48"/>
  <c r="CS51"/>
  <c r="CT52"/>
  <c r="CT50"/>
  <c r="CJ81"/>
  <c r="CS68"/>
  <c r="EB68" s="1"/>
  <c r="EB50"/>
  <c r="CS43"/>
  <c r="CS64"/>
  <c r="CV63"/>
  <c r="EE63" s="1"/>
  <c r="CQ79"/>
  <c r="CE81"/>
  <c r="CG81"/>
  <c r="CN79"/>
  <c r="CT42"/>
  <c r="CX80"/>
  <c r="CU79"/>
  <c r="CT62"/>
  <c r="ED61"/>
  <c r="EA43"/>
  <c r="BW81"/>
  <c r="CK79"/>
  <c r="CI80"/>
  <c r="CW80"/>
  <c r="EB52"/>
  <c r="EC52" s="1"/>
  <c r="CA81"/>
  <c r="CT49"/>
  <c r="BY79"/>
  <c r="CO81"/>
  <c r="CR80"/>
  <c r="CS59"/>
  <c r="CS81"/>
  <c r="CM81"/>
  <c r="CU57"/>
  <c r="CS69"/>
  <c r="EB69" s="1"/>
  <c r="CV46"/>
  <c r="CS54"/>
  <c r="CT60"/>
  <c r="EC49"/>
  <c r="CS67"/>
  <c r="CY80"/>
  <c r="CD81"/>
  <c r="CL81"/>
  <c r="CB81"/>
  <c r="CS47"/>
  <c r="EB47" s="1"/>
  <c r="EA54"/>
  <c r="EB54" s="1"/>
  <c r="CU58"/>
  <c r="CH80"/>
  <c r="CT65"/>
  <c r="EC65" s="1"/>
  <c r="CS41"/>
  <c r="BZ78"/>
  <c r="CW56"/>
  <c r="BX80"/>
  <c r="EB39"/>
  <c r="CT66"/>
  <c r="ED46"/>
  <c r="EB60"/>
  <c r="CV80"/>
  <c r="CS45"/>
  <c r="CV53"/>
  <c r="EE56"/>
  <c r="CP79"/>
  <c r="CS40"/>
  <c r="CT81"/>
  <c r="CT55"/>
  <c r="EC55" s="1"/>
  <c r="CS44"/>
  <c r="CC81"/>
  <c r="EB62"/>
  <c r="EC62" s="1"/>
  <c r="EE53" l="1"/>
  <c r="ED48"/>
  <c r="EC39"/>
  <c r="EF56"/>
  <c r="EG56" s="1"/>
  <c r="EC60"/>
  <c r="EE61"/>
  <c r="EE46"/>
  <c r="CU66"/>
  <c r="BZ77"/>
  <c r="CL80"/>
  <c r="CT59"/>
  <c r="BY78"/>
  <c r="CU42"/>
  <c r="CE80"/>
  <c r="EC42"/>
  <c r="CT51"/>
  <c r="CT45"/>
  <c r="CV58"/>
  <c r="CU60"/>
  <c r="CV57"/>
  <c r="CI79"/>
  <c r="CU62"/>
  <c r="ED62" s="1"/>
  <c r="CT64"/>
  <c r="CJ80"/>
  <c r="CC80"/>
  <c r="CT40"/>
  <c r="CT41"/>
  <c r="CD80"/>
  <c r="CR79"/>
  <c r="CU49"/>
  <c r="EC66"/>
  <c r="ED66" s="1"/>
  <c r="EB41"/>
  <c r="EC41" s="1"/>
  <c r="CV48"/>
  <c r="CU39"/>
  <c r="CV79"/>
  <c r="CT54"/>
  <c r="EC54" s="1"/>
  <c r="CK78"/>
  <c r="CU78"/>
  <c r="CN78"/>
  <c r="CQ78"/>
  <c r="EB64"/>
  <c r="EB45"/>
  <c r="CT44"/>
  <c r="CP78"/>
  <c r="BX79"/>
  <c r="CT47"/>
  <c r="CY79"/>
  <c r="CM80"/>
  <c r="CA80"/>
  <c r="CT43"/>
  <c r="CU50"/>
  <c r="EB40"/>
  <c r="CT80"/>
  <c r="CU65"/>
  <c r="CW46"/>
  <c r="BW80"/>
  <c r="EB51"/>
  <c r="EC51" s="1"/>
  <c r="EB59"/>
  <c r="CW63"/>
  <c r="EF63" s="1"/>
  <c r="CF78"/>
  <c r="CU55"/>
  <c r="CX56"/>
  <c r="CB80"/>
  <c r="CT67"/>
  <c r="CS80"/>
  <c r="CO80"/>
  <c r="CX79"/>
  <c r="CG80"/>
  <c r="EC50"/>
  <c r="ED50" s="1"/>
  <c r="CU52"/>
  <c r="ED52" s="1"/>
  <c r="EB44"/>
  <c r="EC44" s="1"/>
  <c r="CW53"/>
  <c r="EB67"/>
  <c r="CH79"/>
  <c r="CT69"/>
  <c r="CW79"/>
  <c r="EB43"/>
  <c r="EC43" s="1"/>
  <c r="ED57"/>
  <c r="EE57" s="1"/>
  <c r="CT68"/>
  <c r="CW61"/>
  <c r="ED58"/>
  <c r="EF53" l="1"/>
  <c r="EE48"/>
  <c r="ED39"/>
  <c r="EE39" s="1"/>
  <c r="ED60"/>
  <c r="EE60" s="1"/>
  <c r="EC67"/>
  <c r="ED42"/>
  <c r="EF61"/>
  <c r="EC40"/>
  <c r="EC59"/>
  <c r="EC45"/>
  <c r="EE58"/>
  <c r="CX78"/>
  <c r="CF77"/>
  <c r="CM79"/>
  <c r="CJ79"/>
  <c r="CW57"/>
  <c r="BZ76"/>
  <c r="CB79"/>
  <c r="CX46"/>
  <c r="CV50"/>
  <c r="EE50" s="1"/>
  <c r="CP77"/>
  <c r="CN77"/>
  <c r="CU41"/>
  <c r="CU51"/>
  <c r="ED51" s="1"/>
  <c r="BY77"/>
  <c r="EE52"/>
  <c r="CX63"/>
  <c r="CY78"/>
  <c r="CV78"/>
  <c r="CU64"/>
  <c r="CV60"/>
  <c r="CV66"/>
  <c r="EE66" s="1"/>
  <c r="CX61"/>
  <c r="CU69"/>
  <c r="CV52"/>
  <c r="CO79"/>
  <c r="CY56"/>
  <c r="AJ56" s="1"/>
  <c r="BQ91" s="1"/>
  <c r="CV65"/>
  <c r="CU43"/>
  <c r="ED43" s="1"/>
  <c r="CU44"/>
  <c r="ED44" s="1"/>
  <c r="CU77"/>
  <c r="CV49"/>
  <c r="CU40"/>
  <c r="CU59"/>
  <c r="CW78"/>
  <c r="CU68"/>
  <c r="CH78"/>
  <c r="CU47"/>
  <c r="CV62"/>
  <c r="EE62" s="1"/>
  <c r="CW58"/>
  <c r="CE79"/>
  <c r="EC69"/>
  <c r="CS79"/>
  <c r="EF46"/>
  <c r="CA79"/>
  <c r="CK77"/>
  <c r="CV39"/>
  <c r="CR78"/>
  <c r="CC79"/>
  <c r="ED49"/>
  <c r="EC47"/>
  <c r="EF57"/>
  <c r="CG79"/>
  <c r="CV55"/>
  <c r="BW79"/>
  <c r="CT79"/>
  <c r="EC64"/>
  <c r="ED64" s="1"/>
  <c r="CI78"/>
  <c r="CU45"/>
  <c r="CV42"/>
  <c r="CL79"/>
  <c r="ED65"/>
  <c r="CX53"/>
  <c r="CU67"/>
  <c r="BX78"/>
  <c r="CQ77"/>
  <c r="CU54"/>
  <c r="ED54" s="1"/>
  <c r="CW48"/>
  <c r="CD79"/>
  <c r="EC68"/>
  <c r="ED68" s="1"/>
  <c r="ED55"/>
  <c r="EE55" s="1"/>
  <c r="EG53" l="1"/>
  <c r="EE42"/>
  <c r="EF48"/>
  <c r="ED59"/>
  <c r="ED47"/>
  <c r="EE65"/>
  <c r="EF65" s="1"/>
  <c r="ED40"/>
  <c r="EF58"/>
  <c r="EG46"/>
  <c r="EH46" s="1"/>
  <c r="ED69"/>
  <c r="EE69" s="1"/>
  <c r="EE49"/>
  <c r="BW78"/>
  <c r="CK76"/>
  <c r="CS78"/>
  <c r="CW49"/>
  <c r="CW65"/>
  <c r="CV69"/>
  <c r="CY63"/>
  <c r="CV41"/>
  <c r="CW50"/>
  <c r="CW77"/>
  <c r="CV64"/>
  <c r="EE64" s="1"/>
  <c r="EG63"/>
  <c r="CC78"/>
  <c r="CV47"/>
  <c r="CU76"/>
  <c r="CY61"/>
  <c r="ED41"/>
  <c r="CY46"/>
  <c r="CX57"/>
  <c r="CF76"/>
  <c r="CV45"/>
  <c r="CW55"/>
  <c r="EF55" s="1"/>
  <c r="ED45"/>
  <c r="CD78"/>
  <c r="BX77"/>
  <c r="EF50"/>
  <c r="CI77"/>
  <c r="CA78"/>
  <c r="CE78"/>
  <c r="CV59"/>
  <c r="AI56"/>
  <c r="CQ76"/>
  <c r="CG78"/>
  <c r="CR77"/>
  <c r="CV44"/>
  <c r="CO78"/>
  <c r="CV77"/>
  <c r="BY76"/>
  <c r="CN76"/>
  <c r="CB78"/>
  <c r="CJ78"/>
  <c r="CX77"/>
  <c r="CL78"/>
  <c r="CX58"/>
  <c r="CH77"/>
  <c r="CW66"/>
  <c r="CV67"/>
  <c r="CT78"/>
  <c r="ED67"/>
  <c r="CW39"/>
  <c r="EF39" s="1"/>
  <c r="CV40"/>
  <c r="CV43"/>
  <c r="CW52"/>
  <c r="EF52" s="1"/>
  <c r="CY77"/>
  <c r="CV51"/>
  <c r="CP76"/>
  <c r="EH56"/>
  <c r="CM78"/>
  <c r="CY53"/>
  <c r="CX48"/>
  <c r="EG48" s="1"/>
  <c r="CV54"/>
  <c r="EE54" s="1"/>
  <c r="CW42"/>
  <c r="EG57"/>
  <c r="CW62"/>
  <c r="CV68"/>
  <c r="EE68" s="1"/>
  <c r="CW60"/>
  <c r="EF60" s="1"/>
  <c r="BZ75"/>
  <c r="EG61"/>
  <c r="AJ53" l="1"/>
  <c r="BQ88" s="1"/>
  <c r="EF42"/>
  <c r="AJ46"/>
  <c r="BQ81" s="1"/>
  <c r="EE41"/>
  <c r="EH61"/>
  <c r="EH63"/>
  <c r="CP75"/>
  <c r="CW43"/>
  <c r="CT77"/>
  <c r="CY58"/>
  <c r="CR76"/>
  <c r="BP91"/>
  <c r="AH56"/>
  <c r="BW77"/>
  <c r="CX62"/>
  <c r="CJ77"/>
  <c r="CW59"/>
  <c r="CW45"/>
  <c r="CW76"/>
  <c r="CW41"/>
  <c r="CX49"/>
  <c r="CV76"/>
  <c r="CW51"/>
  <c r="CW40"/>
  <c r="CW67"/>
  <c r="CG77"/>
  <c r="BX76"/>
  <c r="CC77"/>
  <c r="BZ74"/>
  <c r="CB77"/>
  <c r="CO77"/>
  <c r="CE77"/>
  <c r="CF75"/>
  <c r="AJ61"/>
  <c r="AJ63"/>
  <c r="CS77"/>
  <c r="CY76"/>
  <c r="EE51"/>
  <c r="CX66"/>
  <c r="CL77"/>
  <c r="CD77"/>
  <c r="EE43"/>
  <c r="EF43" s="1"/>
  <c r="EF49"/>
  <c r="CY48"/>
  <c r="AJ48" s="1"/>
  <c r="BQ83" s="1"/>
  <c r="CX60"/>
  <c r="EG60" s="1"/>
  <c r="CX42"/>
  <c r="CM77"/>
  <c r="CX39"/>
  <c r="CN75"/>
  <c r="CW44"/>
  <c r="CQ75"/>
  <c r="CA77"/>
  <c r="CY57"/>
  <c r="AJ57" s="1"/>
  <c r="BQ92" s="1"/>
  <c r="CU75"/>
  <c r="CW69"/>
  <c r="CK75"/>
  <c r="EG58"/>
  <c r="EH58" s="1"/>
  <c r="CX52"/>
  <c r="EG52" s="1"/>
  <c r="CH76"/>
  <c r="EE45"/>
  <c r="EF45" s="1"/>
  <c r="EF62"/>
  <c r="EG62" s="1"/>
  <c r="EE40"/>
  <c r="EH53"/>
  <c r="CW68"/>
  <c r="EF68" s="1"/>
  <c r="CW54"/>
  <c r="EF54" s="1"/>
  <c r="EE67"/>
  <c r="EF67" s="1"/>
  <c r="CX76"/>
  <c r="BY75"/>
  <c r="EE59"/>
  <c r="EF59" s="1"/>
  <c r="EF66"/>
  <c r="CI76"/>
  <c r="CX55"/>
  <c r="CW47"/>
  <c r="CW64"/>
  <c r="CX50"/>
  <c r="EG50" s="1"/>
  <c r="CX65"/>
  <c r="EE47"/>
  <c r="EF47" s="1"/>
  <c r="EE44"/>
  <c r="AI53" l="1"/>
  <c r="BP88" s="1"/>
  <c r="EG42"/>
  <c r="EG49"/>
  <c r="EF51"/>
  <c r="AI46"/>
  <c r="BP81" s="1"/>
  <c r="EH57"/>
  <c r="EF44"/>
  <c r="EG66"/>
  <c r="EF40"/>
  <c r="AI57"/>
  <c r="AH57" s="1"/>
  <c r="CL76"/>
  <c r="CE76"/>
  <c r="BW76"/>
  <c r="AJ58"/>
  <c r="CY55"/>
  <c r="CK74"/>
  <c r="CA76"/>
  <c r="CY39"/>
  <c r="CC76"/>
  <c r="CX40"/>
  <c r="CX41"/>
  <c r="EH48"/>
  <c r="AI48"/>
  <c r="CY66"/>
  <c r="CS76"/>
  <c r="CO76"/>
  <c r="CX59"/>
  <c r="EG59" s="1"/>
  <c r="CT76"/>
  <c r="CY50"/>
  <c r="AJ50" s="1"/>
  <c r="BQ85" s="1"/>
  <c r="CI75"/>
  <c r="CX69"/>
  <c r="CQ74"/>
  <c r="CM76"/>
  <c r="BX75"/>
  <c r="CX51"/>
  <c r="CW75"/>
  <c r="CY65"/>
  <c r="CX54"/>
  <c r="CH75"/>
  <c r="BQ98"/>
  <c r="AI63"/>
  <c r="CB76"/>
  <c r="CJ76"/>
  <c r="BO91"/>
  <c r="AG56"/>
  <c r="CX43"/>
  <c r="EG43" s="1"/>
  <c r="CX75"/>
  <c r="CU74"/>
  <c r="CX44"/>
  <c r="CY42"/>
  <c r="CD76"/>
  <c r="CY75"/>
  <c r="BQ96"/>
  <c r="AI61"/>
  <c r="CG76"/>
  <c r="CV75"/>
  <c r="EF69"/>
  <c r="EG69" s="1"/>
  <c r="CX64"/>
  <c r="CX68"/>
  <c r="EG68" s="1"/>
  <c r="CY52"/>
  <c r="AJ52" s="1"/>
  <c r="BQ87" s="1"/>
  <c r="CF74"/>
  <c r="EF64"/>
  <c r="EF41"/>
  <c r="CY62"/>
  <c r="AJ62" s="1"/>
  <c r="BQ97" s="1"/>
  <c r="CR75"/>
  <c r="CP74"/>
  <c r="EG55"/>
  <c r="EH55" s="1"/>
  <c r="CX47"/>
  <c r="EG47" s="1"/>
  <c r="BY74"/>
  <c r="CN74"/>
  <c r="CY60"/>
  <c r="AJ60" s="1"/>
  <c r="BQ95" s="1"/>
  <c r="EG65"/>
  <c r="CX67"/>
  <c r="CY49"/>
  <c r="CX45"/>
  <c r="EG39"/>
  <c r="EH39" s="1"/>
  <c r="AJ49" l="1"/>
  <c r="BQ84" s="1"/>
  <c r="AH53"/>
  <c r="BO88" s="1"/>
  <c r="EG51"/>
  <c r="AJ42"/>
  <c r="BQ77" s="1"/>
  <c r="EH66"/>
  <c r="EH65"/>
  <c r="EG44"/>
  <c r="AH46"/>
  <c r="BO81" s="1"/>
  <c r="EG64"/>
  <c r="AJ66"/>
  <c r="BQ101" s="1"/>
  <c r="EG41"/>
  <c r="EH41" s="1"/>
  <c r="AI62"/>
  <c r="BP97" s="1"/>
  <c r="AI49"/>
  <c r="BP84" s="1"/>
  <c r="BP92"/>
  <c r="BN91"/>
  <c r="AF56"/>
  <c r="CW74"/>
  <c r="EH62"/>
  <c r="AJ39"/>
  <c r="CY74"/>
  <c r="CO75"/>
  <c r="EH52"/>
  <c r="BO92"/>
  <c r="AG57"/>
  <c r="CJ75"/>
  <c r="CH74"/>
  <c r="CY51"/>
  <c r="AI50"/>
  <c r="CY41"/>
  <c r="CA75"/>
  <c r="BQ93"/>
  <c r="AI58"/>
  <c r="CR74"/>
  <c r="AI52"/>
  <c r="CV74"/>
  <c r="CD75"/>
  <c r="CY69"/>
  <c r="AJ69" s="1"/>
  <c r="BQ104" s="1"/>
  <c r="CT75"/>
  <c r="CS75"/>
  <c r="BW75"/>
  <c r="CY67"/>
  <c r="CY47"/>
  <c r="AJ47" s="1"/>
  <c r="BQ82" s="1"/>
  <c r="CY68"/>
  <c r="AJ68" s="1"/>
  <c r="BQ103" s="1"/>
  <c r="EG103" s="1"/>
  <c r="CX74"/>
  <c r="CB75"/>
  <c r="CY54"/>
  <c r="BX74"/>
  <c r="CY40"/>
  <c r="EG54"/>
  <c r="CY45"/>
  <c r="CG75"/>
  <c r="EG45"/>
  <c r="CE75"/>
  <c r="EH42"/>
  <c r="CY43"/>
  <c r="AJ43" s="1"/>
  <c r="BQ78" s="1"/>
  <c r="BP98"/>
  <c r="AH63"/>
  <c r="AJ65"/>
  <c r="EH49"/>
  <c r="EG67"/>
  <c r="EH67" s="1"/>
  <c r="CC75"/>
  <c r="EG40"/>
  <c r="EH50"/>
  <c r="AI60"/>
  <c r="CY64"/>
  <c r="BP96"/>
  <c r="AH61"/>
  <c r="CY44"/>
  <c r="CM75"/>
  <c r="CI74"/>
  <c r="CY59"/>
  <c r="AJ59" s="1"/>
  <c r="BQ94" s="1"/>
  <c r="BP83"/>
  <c r="AH48"/>
  <c r="AJ55"/>
  <c r="CL75"/>
  <c r="EH60"/>
  <c r="AI42" l="1"/>
  <c r="BP77" s="1"/>
  <c r="AG53"/>
  <c r="BN88" s="1"/>
  <c r="AJ51"/>
  <c r="BQ86" s="1"/>
  <c r="AJ44"/>
  <c r="BQ79" s="1"/>
  <c r="EH45"/>
  <c r="EH51"/>
  <c r="AG46"/>
  <c r="BN81" s="1"/>
  <c r="AJ64"/>
  <c r="BQ99" s="1"/>
  <c r="AI66"/>
  <c r="AH66" s="1"/>
  <c r="AJ41"/>
  <c r="BQ76" s="1"/>
  <c r="EH40"/>
  <c r="EH44"/>
  <c r="AJ54"/>
  <c r="BQ89" s="1"/>
  <c r="AH62"/>
  <c r="BO97" s="1"/>
  <c r="AI43"/>
  <c r="AH43" s="1"/>
  <c r="AH49"/>
  <c r="AG49" s="1"/>
  <c r="AI59"/>
  <c r="BP94" s="1"/>
  <c r="BP95"/>
  <c r="AH60"/>
  <c r="CS74"/>
  <c r="CO74"/>
  <c r="BQ90"/>
  <c r="AI55"/>
  <c r="BO98"/>
  <c r="AG63"/>
  <c r="AI68"/>
  <c r="CA74"/>
  <c r="CE74"/>
  <c r="CT74"/>
  <c r="BP87"/>
  <c r="AH52"/>
  <c r="CJ74"/>
  <c r="EH43"/>
  <c r="BQ100"/>
  <c r="AI65"/>
  <c r="BO96"/>
  <c r="AG61"/>
  <c r="CC74"/>
  <c r="AJ45"/>
  <c r="AI47"/>
  <c r="BM91"/>
  <c r="AE56"/>
  <c r="CB74"/>
  <c r="AJ67"/>
  <c r="EH69"/>
  <c r="EH54"/>
  <c r="AI69"/>
  <c r="BP85"/>
  <c r="AH50"/>
  <c r="BN92"/>
  <c r="AF57"/>
  <c r="EH47"/>
  <c r="BO83"/>
  <c r="AG48"/>
  <c r="EH59"/>
  <c r="AJ40"/>
  <c r="BW74"/>
  <c r="CD74"/>
  <c r="BQ74"/>
  <c r="AI39"/>
  <c r="CL74"/>
  <c r="CM74"/>
  <c r="EH64"/>
  <c r="CG74"/>
  <c r="BP93"/>
  <c r="AH58"/>
  <c r="EH68"/>
  <c r="AH42" l="1"/>
  <c r="BO77" s="1"/>
  <c r="AF53"/>
  <c r="AE53" s="1"/>
  <c r="AD53" s="1"/>
  <c r="AI51"/>
  <c r="AH51" s="1"/>
  <c r="AI44"/>
  <c r="AH44" s="1"/>
  <c r="BP101"/>
  <c r="AF46"/>
  <c r="BM81" s="1"/>
  <c r="AI64"/>
  <c r="BP99" s="1"/>
  <c r="AI41"/>
  <c r="AH41" s="1"/>
  <c r="BP78"/>
  <c r="AG62"/>
  <c r="BN97" s="1"/>
  <c r="AH59"/>
  <c r="BO94" s="1"/>
  <c r="BO84"/>
  <c r="AI54"/>
  <c r="AH54" s="1"/>
  <c r="BP104"/>
  <c r="AH69"/>
  <c r="BQ102"/>
  <c r="EG102" s="1"/>
  <c r="EG101" s="1"/>
  <c r="EG100" s="1"/>
  <c r="EG99" s="1"/>
  <c r="EG98" s="1"/>
  <c r="EG97" s="1"/>
  <c r="EG96" s="1"/>
  <c r="EG95" s="1"/>
  <c r="EG94" s="1"/>
  <c r="EG93" s="1"/>
  <c r="EG92" s="1"/>
  <c r="EG91" s="1"/>
  <c r="EG90" s="1"/>
  <c r="EG89" s="1"/>
  <c r="EG88" s="1"/>
  <c r="EG87" s="1"/>
  <c r="EG86" s="1"/>
  <c r="EG85" s="1"/>
  <c r="EG84" s="1"/>
  <c r="EG83" s="1"/>
  <c r="EG82" s="1"/>
  <c r="EG81" s="1"/>
  <c r="AI67"/>
  <c r="BN84"/>
  <c r="AF49"/>
  <c r="BL91"/>
  <c r="AD56"/>
  <c r="BN96"/>
  <c r="AF61"/>
  <c r="BO87"/>
  <c r="AG52"/>
  <c r="BP103"/>
  <c r="EF103" s="1"/>
  <c r="AH68"/>
  <c r="BL88"/>
  <c r="BO93"/>
  <c r="AG58"/>
  <c r="BM92"/>
  <c r="AE57"/>
  <c r="BO101"/>
  <c r="AG66"/>
  <c r="BQ75"/>
  <c r="AI40"/>
  <c r="BO78"/>
  <c r="AG43"/>
  <c r="BP82"/>
  <c r="AH47"/>
  <c r="BP100"/>
  <c r="AH65"/>
  <c r="BN98"/>
  <c r="AF63"/>
  <c r="BO85"/>
  <c r="AG50"/>
  <c r="BO95"/>
  <c r="AG60"/>
  <c r="BP74"/>
  <c r="AH39"/>
  <c r="BN83"/>
  <c r="AF48"/>
  <c r="BQ80"/>
  <c r="AI45"/>
  <c r="BP90"/>
  <c r="AH55"/>
  <c r="AG42" l="1"/>
  <c r="BN77" s="1"/>
  <c r="BP86"/>
  <c r="BM88"/>
  <c r="BP79"/>
  <c r="AE46"/>
  <c r="AD46" s="1"/>
  <c r="AC46" s="1"/>
  <c r="BP76"/>
  <c r="AH64"/>
  <c r="AG64" s="1"/>
  <c r="BN99" s="1"/>
  <c r="EG80"/>
  <c r="EG79" s="1"/>
  <c r="EG78" s="1"/>
  <c r="EG77" s="1"/>
  <c r="EG76" s="1"/>
  <c r="EG75" s="1"/>
  <c r="EG74" s="1"/>
  <c r="AG59"/>
  <c r="BN94" s="1"/>
  <c r="AF62"/>
  <c r="AE62" s="1"/>
  <c r="BP89"/>
  <c r="BO89"/>
  <c r="AG54"/>
  <c r="BN101"/>
  <c r="AF66"/>
  <c r="BK88"/>
  <c r="AC53"/>
  <c r="BO103"/>
  <c r="EE103" s="1"/>
  <c r="AG68"/>
  <c r="BK91"/>
  <c r="AC56"/>
  <c r="BO82"/>
  <c r="AG47"/>
  <c r="BO90"/>
  <c r="AG55"/>
  <c r="BN78"/>
  <c r="AF43"/>
  <c r="BN87"/>
  <c r="AF52"/>
  <c r="BM84"/>
  <c r="AE49"/>
  <c r="BO76"/>
  <c r="AG41"/>
  <c r="BM83"/>
  <c r="AE48"/>
  <c r="BL92"/>
  <c r="AD57"/>
  <c r="BP80"/>
  <c r="AH45"/>
  <c r="BO74"/>
  <c r="AG39"/>
  <c r="BM98"/>
  <c r="AE63"/>
  <c r="BP75"/>
  <c r="AH40"/>
  <c r="BN93"/>
  <c r="AF58"/>
  <c r="BM96"/>
  <c r="AE61"/>
  <c r="BP102"/>
  <c r="EF102" s="1"/>
  <c r="EF101" s="1"/>
  <c r="EF100" s="1"/>
  <c r="EF99" s="1"/>
  <c r="EF98" s="1"/>
  <c r="EF97" s="1"/>
  <c r="EF96" s="1"/>
  <c r="EF95" s="1"/>
  <c r="EF94" s="1"/>
  <c r="EF93" s="1"/>
  <c r="EF92" s="1"/>
  <c r="EF91" s="1"/>
  <c r="EF90" s="1"/>
  <c r="AH67"/>
  <c r="BN95"/>
  <c r="AF60"/>
  <c r="BO100"/>
  <c r="AG65"/>
  <c r="BO79"/>
  <c r="AG44"/>
  <c r="BO86"/>
  <c r="AG51"/>
  <c r="BO104"/>
  <c r="AG69"/>
  <c r="BN85"/>
  <c r="AF50"/>
  <c r="AF42" l="1"/>
  <c r="BK81"/>
  <c r="BL81"/>
  <c r="AF64"/>
  <c r="BM99" s="1"/>
  <c r="BO99"/>
  <c r="AJ74"/>
  <c r="AJ75" s="1"/>
  <c r="AJ76" s="1"/>
  <c r="AJ77" s="1"/>
  <c r="AJ78" s="1"/>
  <c r="AJ79" s="1"/>
  <c r="AJ80" s="1"/>
  <c r="AJ81" s="1"/>
  <c r="AJ82" s="1"/>
  <c r="AJ83" s="1"/>
  <c r="AJ84" s="1"/>
  <c r="AJ85" s="1"/>
  <c r="AJ86" s="1"/>
  <c r="AJ87" s="1"/>
  <c r="AJ88" s="1"/>
  <c r="AJ89" s="1"/>
  <c r="AJ90" s="1"/>
  <c r="AJ91" s="1"/>
  <c r="AJ92" s="1"/>
  <c r="AJ93" s="1"/>
  <c r="AJ94" s="1"/>
  <c r="AJ95" s="1"/>
  <c r="AJ96" s="1"/>
  <c r="AJ97" s="1"/>
  <c r="AJ98" s="1"/>
  <c r="AJ99" s="1"/>
  <c r="AJ100" s="1"/>
  <c r="AJ101" s="1"/>
  <c r="AJ102" s="1"/>
  <c r="AJ103" s="1"/>
  <c r="AJ104" s="1"/>
  <c r="BM97"/>
  <c r="AF59"/>
  <c r="AE59" s="1"/>
  <c r="EF89"/>
  <c r="EF88" s="1"/>
  <c r="EF87" s="1"/>
  <c r="EF86" s="1"/>
  <c r="EF85" s="1"/>
  <c r="EF84" s="1"/>
  <c r="EF83" s="1"/>
  <c r="EF82" s="1"/>
  <c r="EF81" s="1"/>
  <c r="EF80" s="1"/>
  <c r="EF79" s="1"/>
  <c r="EF78" s="1"/>
  <c r="EF77" s="1"/>
  <c r="EF76" s="1"/>
  <c r="EF75" s="1"/>
  <c r="EF74" s="1"/>
  <c r="BN103"/>
  <c r="ED103" s="1"/>
  <c r="AF68"/>
  <c r="BN104"/>
  <c r="AF69"/>
  <c r="BL84"/>
  <c r="AD49"/>
  <c r="BN90"/>
  <c r="AF55"/>
  <c r="BJ88"/>
  <c r="AB53"/>
  <c r="BM77"/>
  <c r="AE42"/>
  <c r="BN100"/>
  <c r="AF65"/>
  <c r="BO102"/>
  <c r="EE102" s="1"/>
  <c r="EE101" s="1"/>
  <c r="EE100" s="1"/>
  <c r="AG67"/>
  <c r="BO75"/>
  <c r="AG40"/>
  <c r="BK92"/>
  <c r="AC57"/>
  <c r="BM87"/>
  <c r="AE52"/>
  <c r="BN82"/>
  <c r="AF47"/>
  <c r="BM101"/>
  <c r="AE66"/>
  <c r="BN79"/>
  <c r="AF44"/>
  <c r="BM95"/>
  <c r="AE60"/>
  <c r="BL98"/>
  <c r="AD63"/>
  <c r="BL83"/>
  <c r="AD48"/>
  <c r="BJ81"/>
  <c r="AB46"/>
  <c r="BM93"/>
  <c r="AE58"/>
  <c r="BJ91"/>
  <c r="AB56"/>
  <c r="BN89"/>
  <c r="AF54"/>
  <c r="BO80"/>
  <c r="AG45"/>
  <c r="BN86"/>
  <c r="AF51"/>
  <c r="BL96"/>
  <c r="AD61"/>
  <c r="BM85"/>
  <c r="AE50"/>
  <c r="BL97"/>
  <c r="AD62"/>
  <c r="BN74"/>
  <c r="AF39"/>
  <c r="BN76"/>
  <c r="AF41"/>
  <c r="BM78"/>
  <c r="AE43"/>
  <c r="EE99" l="1"/>
  <c r="EE98" s="1"/>
  <c r="EE97" s="1"/>
  <c r="EE96" s="1"/>
  <c r="EE95" s="1"/>
  <c r="EE94" s="1"/>
  <c r="EE93" s="1"/>
  <c r="EE92" s="1"/>
  <c r="EE91" s="1"/>
  <c r="EE90" s="1"/>
  <c r="EE89" s="1"/>
  <c r="EE88" s="1"/>
  <c r="EE87" s="1"/>
  <c r="EE86" s="1"/>
  <c r="EE85" s="1"/>
  <c r="EE84" s="1"/>
  <c r="EE83" s="1"/>
  <c r="EE82" s="1"/>
  <c r="EE81" s="1"/>
  <c r="EE80" s="1"/>
  <c r="EE79" s="1"/>
  <c r="EE78" s="1"/>
  <c r="EE77" s="1"/>
  <c r="EE76" s="1"/>
  <c r="EE75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AE64"/>
  <c r="BL99" s="1"/>
  <c r="BM94"/>
  <c r="AI74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BK84"/>
  <c r="AC49"/>
  <c r="BM76"/>
  <c r="AE41"/>
  <c r="BK97"/>
  <c r="AC62"/>
  <c r="BN80"/>
  <c r="AF45"/>
  <c r="BI81"/>
  <c r="AA46"/>
  <c r="BM79"/>
  <c r="AE44"/>
  <c r="BJ92"/>
  <c r="AB57"/>
  <c r="BL77"/>
  <c r="AD42"/>
  <c r="BM104"/>
  <c r="AE69"/>
  <c r="BM74"/>
  <c r="AE39"/>
  <c r="BL85"/>
  <c r="AD50"/>
  <c r="BM89"/>
  <c r="AE54"/>
  <c r="BK83"/>
  <c r="AC48"/>
  <c r="BL101"/>
  <c r="AD66"/>
  <c r="BN75"/>
  <c r="AF40"/>
  <c r="BI88"/>
  <c r="AA53"/>
  <c r="BM103"/>
  <c r="EC103" s="1"/>
  <c r="AE68"/>
  <c r="BK96"/>
  <c r="AC61"/>
  <c r="BI91"/>
  <c r="AA56"/>
  <c r="BK98"/>
  <c r="AC63"/>
  <c r="BM82"/>
  <c r="AE47"/>
  <c r="BN102"/>
  <c r="ED102" s="1"/>
  <c r="ED101" s="1"/>
  <c r="ED100" s="1"/>
  <c r="ED99" s="1"/>
  <c r="ED98" s="1"/>
  <c r="ED97" s="1"/>
  <c r="ED96" s="1"/>
  <c r="ED95" s="1"/>
  <c r="ED94" s="1"/>
  <c r="ED93" s="1"/>
  <c r="ED92" s="1"/>
  <c r="ED91" s="1"/>
  <c r="ED90" s="1"/>
  <c r="ED89" s="1"/>
  <c r="ED88" s="1"/>
  <c r="ED87" s="1"/>
  <c r="ED86" s="1"/>
  <c r="ED85" s="1"/>
  <c r="ED84" s="1"/>
  <c r="ED83" s="1"/>
  <c r="ED82" s="1"/>
  <c r="ED81" s="1"/>
  <c r="AF67"/>
  <c r="BM90"/>
  <c r="AE55"/>
  <c r="BL78"/>
  <c r="AD43"/>
  <c r="BL94"/>
  <c r="AD59"/>
  <c r="BM86"/>
  <c r="AE51"/>
  <c r="BL93"/>
  <c r="AD58"/>
  <c r="BL95"/>
  <c r="AD60"/>
  <c r="BL87"/>
  <c r="AD52"/>
  <c r="BM100"/>
  <c r="AE65"/>
  <c r="AD64" l="1"/>
  <c r="AC64" s="1"/>
  <c r="ED80"/>
  <c r="ED79" s="1"/>
  <c r="ED78" s="1"/>
  <c r="ED77" s="1"/>
  <c r="ED76" s="1"/>
  <c r="ED75" s="1"/>
  <c r="AG74" s="1"/>
  <c r="AG75" s="1"/>
  <c r="AG76" s="1"/>
  <c r="AG77" s="1"/>
  <c r="AG78" s="1"/>
  <c r="AG79" s="1"/>
  <c r="AG80" s="1"/>
  <c r="AG81" s="1"/>
  <c r="AG82" s="1"/>
  <c r="AG83" s="1"/>
  <c r="AG84" s="1"/>
  <c r="AG85" s="1"/>
  <c r="AG86" s="1"/>
  <c r="AG87" s="1"/>
  <c r="AG88" s="1"/>
  <c r="AG89" s="1"/>
  <c r="AG90" s="1"/>
  <c r="AG91" s="1"/>
  <c r="AG92" s="1"/>
  <c r="AG93" s="1"/>
  <c r="AG94" s="1"/>
  <c r="AG95" s="1"/>
  <c r="AG96" s="1"/>
  <c r="AG97" s="1"/>
  <c r="AG98" s="1"/>
  <c r="AG99" s="1"/>
  <c r="AG100" s="1"/>
  <c r="AG101" s="1"/>
  <c r="AG102" s="1"/>
  <c r="AG103" s="1"/>
  <c r="AG104" s="1"/>
  <c r="EE74"/>
  <c r="BL100"/>
  <c r="AD65"/>
  <c r="BJ96"/>
  <c r="AB61"/>
  <c r="BM75"/>
  <c r="AE40"/>
  <c r="BK85"/>
  <c r="AC50"/>
  <c r="BI92"/>
  <c r="AA57"/>
  <c r="BJ97"/>
  <c r="AB62"/>
  <c r="BK94"/>
  <c r="AC59"/>
  <c r="BK101"/>
  <c r="AC66"/>
  <c r="BL74"/>
  <c r="AD39"/>
  <c r="BL79"/>
  <c r="AD44"/>
  <c r="BL76"/>
  <c r="AD41"/>
  <c r="BL86"/>
  <c r="AD51"/>
  <c r="BK78"/>
  <c r="AC43"/>
  <c r="BJ98"/>
  <c r="AB63"/>
  <c r="BL103"/>
  <c r="EB103" s="1"/>
  <c r="AD68"/>
  <c r="BJ83"/>
  <c r="AB48"/>
  <c r="BL104"/>
  <c r="AD69"/>
  <c r="BH81"/>
  <c r="Z46"/>
  <c r="BJ84"/>
  <c r="AB49"/>
  <c r="BM102"/>
  <c r="EC102" s="1"/>
  <c r="EC101" s="1"/>
  <c r="EC100" s="1"/>
  <c r="EC99" s="1"/>
  <c r="EC98" s="1"/>
  <c r="EC97" s="1"/>
  <c r="EC96" s="1"/>
  <c r="EC95" s="1"/>
  <c r="EC94" s="1"/>
  <c r="EC93" s="1"/>
  <c r="EC92" s="1"/>
  <c r="EC91" s="1"/>
  <c r="EC90" s="1"/>
  <c r="EC89" s="1"/>
  <c r="EC88" s="1"/>
  <c r="EC87" s="1"/>
  <c r="EC86" s="1"/>
  <c r="EC85" s="1"/>
  <c r="EC84" s="1"/>
  <c r="EC83" s="1"/>
  <c r="EC82" s="1"/>
  <c r="EC81" s="1"/>
  <c r="AE67"/>
  <c r="BK87"/>
  <c r="AC52"/>
  <c r="BL82"/>
  <c r="AD47"/>
  <c r="BK95"/>
  <c r="AC60"/>
  <c r="BK93"/>
  <c r="AC58"/>
  <c r="BL90"/>
  <c r="AD55"/>
  <c r="BH91"/>
  <c r="Z56"/>
  <c r="BH88"/>
  <c r="Z53"/>
  <c r="BL89"/>
  <c r="AD54"/>
  <c r="BK77"/>
  <c r="AC42"/>
  <c r="BM80"/>
  <c r="AE45"/>
  <c r="BK99" l="1"/>
  <c r="EC80"/>
  <c r="EC79" s="1"/>
  <c r="EC78" s="1"/>
  <c r="EC77" s="1"/>
  <c r="EC76" s="1"/>
  <c r="EC75" s="1"/>
  <c r="AF74" s="1"/>
  <c r="AF75" s="1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AF94" s="1"/>
  <c r="AF95" s="1"/>
  <c r="AF96" s="1"/>
  <c r="AF97" s="1"/>
  <c r="AF98" s="1"/>
  <c r="AF99" s="1"/>
  <c r="AF100" s="1"/>
  <c r="AF101" s="1"/>
  <c r="AF102" s="1"/>
  <c r="AF103" s="1"/>
  <c r="AF104" s="1"/>
  <c r="ED74"/>
  <c r="BI84"/>
  <c r="AA49"/>
  <c r="BK103"/>
  <c r="EA103" s="1"/>
  <c r="AC68"/>
  <c r="BK76"/>
  <c r="AC41"/>
  <c r="BJ99"/>
  <c r="AB64"/>
  <c r="BJ85"/>
  <c r="AB50"/>
  <c r="BL80"/>
  <c r="AD45"/>
  <c r="BJ77"/>
  <c r="AB42"/>
  <c r="BG81"/>
  <c r="Y46"/>
  <c r="BI98"/>
  <c r="AA63"/>
  <c r="BK79"/>
  <c r="AC44"/>
  <c r="BJ94"/>
  <c r="AB59"/>
  <c r="BL75"/>
  <c r="AD40"/>
  <c r="BG91"/>
  <c r="Y56"/>
  <c r="BK90"/>
  <c r="AC55"/>
  <c r="BK89"/>
  <c r="AC54"/>
  <c r="BJ93"/>
  <c r="AB58"/>
  <c r="BL102"/>
  <c r="EB102" s="1"/>
  <c r="EB101" s="1"/>
  <c r="EB100" s="1"/>
  <c r="EB99" s="1"/>
  <c r="EB98" s="1"/>
  <c r="EB97" s="1"/>
  <c r="EB96" s="1"/>
  <c r="EB95" s="1"/>
  <c r="EB94" s="1"/>
  <c r="EB93" s="1"/>
  <c r="EB92" s="1"/>
  <c r="EB91" s="1"/>
  <c r="EB90" s="1"/>
  <c r="EB89" s="1"/>
  <c r="EB88" s="1"/>
  <c r="EB87" s="1"/>
  <c r="EB86" s="1"/>
  <c r="EB85" s="1"/>
  <c r="EB84" s="1"/>
  <c r="EB83" s="1"/>
  <c r="EB82" s="1"/>
  <c r="EB81" s="1"/>
  <c r="AD67"/>
  <c r="BK104"/>
  <c r="AC69"/>
  <c r="BJ78"/>
  <c r="AB43"/>
  <c r="BK74"/>
  <c r="AC39"/>
  <c r="BI97"/>
  <c r="AA62"/>
  <c r="BI96"/>
  <c r="AA61"/>
  <c r="BG88"/>
  <c r="Y53"/>
  <c r="BK82"/>
  <c r="AC47"/>
  <c r="BJ87"/>
  <c r="AB52"/>
  <c r="BJ95"/>
  <c r="AB60"/>
  <c r="BI83"/>
  <c r="AA48"/>
  <c r="BK86"/>
  <c r="AC51"/>
  <c r="BJ101"/>
  <c r="AB66"/>
  <c r="BH92"/>
  <c r="Z57"/>
  <c r="BK100"/>
  <c r="AC65"/>
  <c r="EB80" l="1"/>
  <c r="EB79" s="1"/>
  <c r="EB78" s="1"/>
  <c r="EB77" s="1"/>
  <c r="EB76" s="1"/>
  <c r="EB75" s="1"/>
  <c r="EB74" s="1"/>
  <c r="EC74"/>
  <c r="BJ89"/>
  <c r="AB54"/>
  <c r="BJ76"/>
  <c r="AB41"/>
  <c r="BF88"/>
  <c r="X53"/>
  <c r="BG92"/>
  <c r="Y57"/>
  <c r="BJ104"/>
  <c r="AB69"/>
  <c r="BJ90"/>
  <c r="AB55"/>
  <c r="BJ79"/>
  <c r="AB44"/>
  <c r="BK80"/>
  <c r="AC45"/>
  <c r="BJ100"/>
  <c r="AB65"/>
  <c r="BJ103"/>
  <c r="DZ103" s="1"/>
  <c r="AB68"/>
  <c r="BI77"/>
  <c r="AA42"/>
  <c r="BH96"/>
  <c r="Z61"/>
  <c r="BH97"/>
  <c r="Z62"/>
  <c r="BK102"/>
  <c r="EA102" s="1"/>
  <c r="EA101" s="1"/>
  <c r="EA100" s="1"/>
  <c r="EA99" s="1"/>
  <c r="EA98" s="1"/>
  <c r="EA97" s="1"/>
  <c r="EA96" s="1"/>
  <c r="EA95" s="1"/>
  <c r="EA94" s="1"/>
  <c r="EA93" s="1"/>
  <c r="EA92" s="1"/>
  <c r="EA91" s="1"/>
  <c r="EA90" s="1"/>
  <c r="EA89" s="1"/>
  <c r="EA88" s="1"/>
  <c r="EA87" s="1"/>
  <c r="EA86" s="1"/>
  <c r="EA85" s="1"/>
  <c r="EA84" s="1"/>
  <c r="EA83" s="1"/>
  <c r="EA82" s="1"/>
  <c r="EA81" s="1"/>
  <c r="AC67"/>
  <c r="BF91"/>
  <c r="X56"/>
  <c r="BH98"/>
  <c r="Z63"/>
  <c r="BI78"/>
  <c r="AA43"/>
  <c r="BI101"/>
  <c r="AA66"/>
  <c r="BI85"/>
  <c r="AA50"/>
  <c r="BH84"/>
  <c r="Z49"/>
  <c r="BH83"/>
  <c r="Z48"/>
  <c r="BI87"/>
  <c r="AA52"/>
  <c r="BJ86"/>
  <c r="AB51"/>
  <c r="BJ82"/>
  <c r="AB47"/>
  <c r="BJ74"/>
  <c r="AB39"/>
  <c r="BI93"/>
  <c r="AA58"/>
  <c r="BK75"/>
  <c r="AC40"/>
  <c r="BF81"/>
  <c r="X46"/>
  <c r="BI94"/>
  <c r="AA59"/>
  <c r="BI95"/>
  <c r="AA60"/>
  <c r="BI99"/>
  <c r="AA64"/>
  <c r="AE74" l="1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EA80"/>
  <c r="EA79" s="1"/>
  <c r="EA78" s="1"/>
  <c r="EA77" s="1"/>
  <c r="EA76" s="1"/>
  <c r="EA75" s="1"/>
  <c r="AD74" s="1"/>
  <c r="AD75" s="1"/>
  <c r="AD76" s="1"/>
  <c r="AD77" s="1"/>
  <c r="AD78" s="1"/>
  <c r="AD79" s="1"/>
  <c r="AD80" s="1"/>
  <c r="AD81" s="1"/>
  <c r="AD82" s="1"/>
  <c r="AD83" s="1"/>
  <c r="AD84" s="1"/>
  <c r="AD85" s="1"/>
  <c r="AD86" s="1"/>
  <c r="AD87" s="1"/>
  <c r="AD88" s="1"/>
  <c r="AD89" s="1"/>
  <c r="AD90" s="1"/>
  <c r="AD91" s="1"/>
  <c r="AD92" s="1"/>
  <c r="AD93" s="1"/>
  <c r="AD94" s="1"/>
  <c r="AD95" s="1"/>
  <c r="AD96" s="1"/>
  <c r="AD97" s="1"/>
  <c r="AD98" s="1"/>
  <c r="AD99" s="1"/>
  <c r="AD100" s="1"/>
  <c r="AD101" s="1"/>
  <c r="AD102" s="1"/>
  <c r="AD103" s="1"/>
  <c r="AD104" s="1"/>
  <c r="BE91"/>
  <c r="W56"/>
  <c r="BH77"/>
  <c r="Z42"/>
  <c r="BI79"/>
  <c r="AA44"/>
  <c r="BE88"/>
  <c r="W53"/>
  <c r="BH87"/>
  <c r="Z52"/>
  <c r="BJ102"/>
  <c r="DZ102" s="1"/>
  <c r="DZ101" s="1"/>
  <c r="DZ100" s="1"/>
  <c r="DZ99" s="1"/>
  <c r="DZ98" s="1"/>
  <c r="DZ97" s="1"/>
  <c r="DZ96" s="1"/>
  <c r="DZ95" s="1"/>
  <c r="DZ94" s="1"/>
  <c r="DZ93" s="1"/>
  <c r="DZ92" s="1"/>
  <c r="DZ91" s="1"/>
  <c r="DZ90" s="1"/>
  <c r="DZ89" s="1"/>
  <c r="DZ88" s="1"/>
  <c r="DZ87" s="1"/>
  <c r="DZ86" s="1"/>
  <c r="DZ85" s="1"/>
  <c r="DZ84" s="1"/>
  <c r="DZ83" s="1"/>
  <c r="DZ82" s="1"/>
  <c r="DZ81" s="1"/>
  <c r="AB67"/>
  <c r="BI103"/>
  <c r="DY103" s="1"/>
  <c r="AA68"/>
  <c r="BI90"/>
  <c r="AA55"/>
  <c r="BI76"/>
  <c r="AA41"/>
  <c r="BH93"/>
  <c r="Z58"/>
  <c r="BH101"/>
  <c r="Z66"/>
  <c r="BG83"/>
  <c r="Y48"/>
  <c r="BH78"/>
  <c r="Z43"/>
  <c r="BI74"/>
  <c r="AA39"/>
  <c r="BG97"/>
  <c r="Y62"/>
  <c r="BI100"/>
  <c r="AA65"/>
  <c r="BI104"/>
  <c r="AA69"/>
  <c r="BI89"/>
  <c r="AA54"/>
  <c r="BH95"/>
  <c r="Z60"/>
  <c r="BH94"/>
  <c r="Z59"/>
  <c r="BE81"/>
  <c r="W46"/>
  <c r="BI82"/>
  <c r="AA47"/>
  <c r="BG84"/>
  <c r="Y49"/>
  <c r="BG98"/>
  <c r="Y63"/>
  <c r="BG96"/>
  <c r="Y61"/>
  <c r="BJ80"/>
  <c r="AB45"/>
  <c r="BF92"/>
  <c r="X57"/>
  <c r="BH99"/>
  <c r="Z64"/>
  <c r="BJ75"/>
  <c r="AB40"/>
  <c r="BI86"/>
  <c r="AA51"/>
  <c r="BH85"/>
  <c r="Z50"/>
  <c r="EA74" l="1"/>
  <c r="DZ80"/>
  <c r="DZ79" s="1"/>
  <c r="DZ78" s="1"/>
  <c r="DZ77" s="1"/>
  <c r="DZ76" s="1"/>
  <c r="DZ75" s="1"/>
  <c r="DZ74" s="1"/>
  <c r="BG95"/>
  <c r="Y60"/>
  <c r="BG101"/>
  <c r="Y66"/>
  <c r="BH103"/>
  <c r="DX103" s="1"/>
  <c r="Z68"/>
  <c r="BH79"/>
  <c r="Z44"/>
  <c r="BE92"/>
  <c r="W57"/>
  <c r="BH82"/>
  <c r="Z47"/>
  <c r="BH86"/>
  <c r="Z51"/>
  <c r="BG93"/>
  <c r="Y58"/>
  <c r="BI102"/>
  <c r="DY102" s="1"/>
  <c r="DY101" s="1"/>
  <c r="DY100" s="1"/>
  <c r="DY99" s="1"/>
  <c r="DY98" s="1"/>
  <c r="DY97" s="1"/>
  <c r="DY96" s="1"/>
  <c r="DY95" s="1"/>
  <c r="DY94" s="1"/>
  <c r="DY93" s="1"/>
  <c r="DY92" s="1"/>
  <c r="DY91" s="1"/>
  <c r="DY90" s="1"/>
  <c r="DY89" s="1"/>
  <c r="DY88" s="1"/>
  <c r="DY87" s="1"/>
  <c r="DY86" s="1"/>
  <c r="DY85" s="1"/>
  <c r="DY84" s="1"/>
  <c r="DY83" s="1"/>
  <c r="DY82" s="1"/>
  <c r="DY81" s="1"/>
  <c r="AA67"/>
  <c r="BG77"/>
  <c r="Y42"/>
  <c r="BF84"/>
  <c r="X49"/>
  <c r="BH89"/>
  <c r="Z54"/>
  <c r="BD81"/>
  <c r="V46"/>
  <c r="BG78"/>
  <c r="Y43"/>
  <c r="BH76"/>
  <c r="Z41"/>
  <c r="BG87"/>
  <c r="Y52"/>
  <c r="BD91"/>
  <c r="V56"/>
  <c r="BI80"/>
  <c r="AA45"/>
  <c r="BI75"/>
  <c r="AA40"/>
  <c r="BH104"/>
  <c r="Z69"/>
  <c r="BF98"/>
  <c r="X63"/>
  <c r="BG94"/>
  <c r="Y59"/>
  <c r="BH100"/>
  <c r="Z65"/>
  <c r="BG85"/>
  <c r="Y50"/>
  <c r="BH74"/>
  <c r="Z39"/>
  <c r="BF96"/>
  <c r="X61"/>
  <c r="BG99"/>
  <c r="Y64"/>
  <c r="BF83"/>
  <c r="X48"/>
  <c r="BH90"/>
  <c r="Z55"/>
  <c r="BD88"/>
  <c r="V53"/>
  <c r="BF97"/>
  <c r="X62"/>
  <c r="DY80" l="1"/>
  <c r="DY79" s="1"/>
  <c r="DY78" s="1"/>
  <c r="DY77" s="1"/>
  <c r="DY76" s="1"/>
  <c r="DY75" s="1"/>
  <c r="AB74" s="1"/>
  <c r="AB75" s="1"/>
  <c r="AB76" s="1"/>
  <c r="AB77" s="1"/>
  <c r="AB78" s="1"/>
  <c r="AB79" s="1"/>
  <c r="AB80" s="1"/>
  <c r="AB81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AC74"/>
  <c r="AC75" s="1"/>
  <c r="AC76" s="1"/>
  <c r="AC77" s="1"/>
  <c r="AC78" s="1"/>
  <c r="AC79" s="1"/>
  <c r="AC80" s="1"/>
  <c r="AC81" s="1"/>
  <c r="AC82" s="1"/>
  <c r="AC83" s="1"/>
  <c r="AC84" s="1"/>
  <c r="AC85" s="1"/>
  <c r="AC86" s="1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BG79"/>
  <c r="Y44"/>
  <c r="BG86"/>
  <c r="Y51"/>
  <c r="BG103"/>
  <c r="DW103" s="1"/>
  <c r="Y68"/>
  <c r="BE96"/>
  <c r="W61"/>
  <c r="BE98"/>
  <c r="W63"/>
  <c r="BG82"/>
  <c r="Y47"/>
  <c r="BF101"/>
  <c r="X66"/>
  <c r="BF94"/>
  <c r="X59"/>
  <c r="BG74"/>
  <c r="Y39"/>
  <c r="BF77"/>
  <c r="X42"/>
  <c r="BF85"/>
  <c r="X50"/>
  <c r="BF87"/>
  <c r="X52"/>
  <c r="BG89"/>
  <c r="Y54"/>
  <c r="BH102"/>
  <c r="DX102" s="1"/>
  <c r="DX101" s="1"/>
  <c r="DX100" s="1"/>
  <c r="DX99" s="1"/>
  <c r="DX98" s="1"/>
  <c r="DX97" s="1"/>
  <c r="DX96" s="1"/>
  <c r="DX95" s="1"/>
  <c r="DX94" s="1"/>
  <c r="DX93" s="1"/>
  <c r="DX92" s="1"/>
  <c r="DX91" s="1"/>
  <c r="DX90" s="1"/>
  <c r="DX89" s="1"/>
  <c r="DX88" s="1"/>
  <c r="DX87" s="1"/>
  <c r="DX86" s="1"/>
  <c r="DX85" s="1"/>
  <c r="DX84" s="1"/>
  <c r="DX83" s="1"/>
  <c r="DX82" s="1"/>
  <c r="DX81" s="1"/>
  <c r="Z67"/>
  <c r="BC88"/>
  <c r="U53"/>
  <c r="BF78"/>
  <c r="X43"/>
  <c r="BC81"/>
  <c r="U46"/>
  <c r="BD92"/>
  <c r="V57"/>
  <c r="BF95"/>
  <c r="X60"/>
  <c r="BH80"/>
  <c r="Z45"/>
  <c r="BG90"/>
  <c r="Y55"/>
  <c r="BC91"/>
  <c r="U56"/>
  <c r="BE83"/>
  <c r="W48"/>
  <c r="BG104"/>
  <c r="Y69"/>
  <c r="BE97"/>
  <c r="W62"/>
  <c r="BF99"/>
  <c r="X64"/>
  <c r="BG100"/>
  <c r="Y65"/>
  <c r="BH75"/>
  <c r="Z40"/>
  <c r="BG76"/>
  <c r="Y41"/>
  <c r="BE84"/>
  <c r="W49"/>
  <c r="BF93"/>
  <c r="X58"/>
  <c r="DX80" l="1"/>
  <c r="DX79" s="1"/>
  <c r="DX78" s="1"/>
  <c r="DX77" s="1"/>
  <c r="DX76" s="1"/>
  <c r="DX75" s="1"/>
  <c r="DX74" s="1"/>
  <c r="DY74"/>
  <c r="BE99"/>
  <c r="W64"/>
  <c r="BE77"/>
  <c r="W42"/>
  <c r="BF82"/>
  <c r="X47"/>
  <c r="BF103"/>
  <c r="DV103" s="1"/>
  <c r="X68"/>
  <c r="BG102"/>
  <c r="DW102" s="1"/>
  <c r="DW101" s="1"/>
  <c r="DW100" s="1"/>
  <c r="DW99" s="1"/>
  <c r="DW98" s="1"/>
  <c r="DW97" s="1"/>
  <c r="DW96" s="1"/>
  <c r="DW95" s="1"/>
  <c r="DW94" s="1"/>
  <c r="DW93" s="1"/>
  <c r="DW92" s="1"/>
  <c r="DW91" s="1"/>
  <c r="DW90" s="1"/>
  <c r="DW89" s="1"/>
  <c r="DW88" s="1"/>
  <c r="DW87" s="1"/>
  <c r="DW86" s="1"/>
  <c r="DW85" s="1"/>
  <c r="DW84" s="1"/>
  <c r="DW83" s="1"/>
  <c r="DW82" s="1"/>
  <c r="DW81" s="1"/>
  <c r="Y67"/>
  <c r="BF76"/>
  <c r="X41"/>
  <c r="BF89"/>
  <c r="X54"/>
  <c r="BF74"/>
  <c r="X39"/>
  <c r="BD98"/>
  <c r="V63"/>
  <c r="BF86"/>
  <c r="X51"/>
  <c r="BD84"/>
  <c r="V49"/>
  <c r="BD97"/>
  <c r="V62"/>
  <c r="BG75"/>
  <c r="Y40"/>
  <c r="BG80"/>
  <c r="Y45"/>
  <c r="BE78"/>
  <c r="W43"/>
  <c r="BE87"/>
  <c r="W52"/>
  <c r="BE94"/>
  <c r="W59"/>
  <c r="BD96"/>
  <c r="V61"/>
  <c r="BB91"/>
  <c r="T56"/>
  <c r="BF90"/>
  <c r="X55"/>
  <c r="BF79"/>
  <c r="X44"/>
  <c r="BC92"/>
  <c r="U57"/>
  <c r="BB81"/>
  <c r="T46"/>
  <c r="BF104"/>
  <c r="X69"/>
  <c r="BE93"/>
  <c r="W58"/>
  <c r="BF100"/>
  <c r="X65"/>
  <c r="BD83"/>
  <c r="V48"/>
  <c r="BE95"/>
  <c r="W60"/>
  <c r="BB88"/>
  <c r="T53"/>
  <c r="BE85"/>
  <c r="W50"/>
  <c r="BE101"/>
  <c r="W66"/>
  <c r="AA74" l="1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DW80"/>
  <c r="DW79" s="1"/>
  <c r="DW78" s="1"/>
  <c r="DW77" s="1"/>
  <c r="DW76" s="1"/>
  <c r="DW75" s="1"/>
  <c r="Z74" s="1"/>
  <c r="Z75" s="1"/>
  <c r="Z76" s="1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BE89"/>
  <c r="W54"/>
  <c r="BE82"/>
  <c r="W47"/>
  <c r="BE100"/>
  <c r="W65"/>
  <c r="BC96"/>
  <c r="U61"/>
  <c r="BF80"/>
  <c r="X45"/>
  <c r="BE86"/>
  <c r="W51"/>
  <c r="BE76"/>
  <c r="W41"/>
  <c r="BD77"/>
  <c r="V42"/>
  <c r="BB92"/>
  <c r="T57"/>
  <c r="BD93"/>
  <c r="V58"/>
  <c r="BD94"/>
  <c r="V59"/>
  <c r="BC98"/>
  <c r="U63"/>
  <c r="BF102"/>
  <c r="DV102" s="1"/>
  <c r="DV101" s="1"/>
  <c r="DV100" s="1"/>
  <c r="DV99" s="1"/>
  <c r="DV98" s="1"/>
  <c r="DV97" s="1"/>
  <c r="DV96" s="1"/>
  <c r="DV95" s="1"/>
  <c r="DV94" s="1"/>
  <c r="DV93" s="1"/>
  <c r="DV92" s="1"/>
  <c r="DV91" s="1"/>
  <c r="DV90" s="1"/>
  <c r="DV89" s="1"/>
  <c r="DV88" s="1"/>
  <c r="DV87" s="1"/>
  <c r="DV86" s="1"/>
  <c r="DV85" s="1"/>
  <c r="DV84" s="1"/>
  <c r="DV83" s="1"/>
  <c r="DV82" s="1"/>
  <c r="DV81" s="1"/>
  <c r="X67"/>
  <c r="BD99"/>
  <c r="V64"/>
  <c r="BD85"/>
  <c r="V50"/>
  <c r="BA88"/>
  <c r="S53"/>
  <c r="BE79"/>
  <c r="W44"/>
  <c r="BF75"/>
  <c r="X40"/>
  <c r="BD95"/>
  <c r="V60"/>
  <c r="BE104"/>
  <c r="W69"/>
  <c r="BE90"/>
  <c r="W55"/>
  <c r="BD87"/>
  <c r="V52"/>
  <c r="BC97"/>
  <c r="U62"/>
  <c r="BE74"/>
  <c r="W39"/>
  <c r="BE103"/>
  <c r="DU103" s="1"/>
  <c r="W68"/>
  <c r="BD101"/>
  <c r="V66"/>
  <c r="BC83"/>
  <c r="U48"/>
  <c r="BA81"/>
  <c r="S46"/>
  <c r="BA91"/>
  <c r="S56"/>
  <c r="BD78"/>
  <c r="V43"/>
  <c r="BC84"/>
  <c r="U49"/>
  <c r="DV80" l="1"/>
  <c r="DV79" s="1"/>
  <c r="DV78" s="1"/>
  <c r="DV77" s="1"/>
  <c r="DV76" s="1"/>
  <c r="DV75" s="1"/>
  <c r="DV74" s="1"/>
  <c r="DW74"/>
  <c r="BB97"/>
  <c r="T62"/>
  <c r="BC85"/>
  <c r="U50"/>
  <c r="BC94"/>
  <c r="U59"/>
  <c r="BC77"/>
  <c r="U42"/>
  <c r="BB96"/>
  <c r="T61"/>
  <c r="BC95"/>
  <c r="U60"/>
  <c r="BC101"/>
  <c r="U66"/>
  <c r="BC99"/>
  <c r="U64"/>
  <c r="BC93"/>
  <c r="U58"/>
  <c r="BD76"/>
  <c r="V41"/>
  <c r="BD100"/>
  <c r="V65"/>
  <c r="BB84"/>
  <c r="T49"/>
  <c r="BC78"/>
  <c r="U43"/>
  <c r="BC87"/>
  <c r="U52"/>
  <c r="AZ91"/>
  <c r="R56"/>
  <c r="BD103"/>
  <c r="DT103" s="1"/>
  <c r="V68"/>
  <c r="BD90"/>
  <c r="V55"/>
  <c r="BD79"/>
  <c r="V44"/>
  <c r="BE102"/>
  <c r="DU102" s="1"/>
  <c r="DU101" s="1"/>
  <c r="DU100" s="1"/>
  <c r="DU99" s="1"/>
  <c r="DU98" s="1"/>
  <c r="DU97" s="1"/>
  <c r="DU96" s="1"/>
  <c r="DU95" s="1"/>
  <c r="DU94" s="1"/>
  <c r="DU93" s="1"/>
  <c r="DU92" s="1"/>
  <c r="DU91" s="1"/>
  <c r="DU90" s="1"/>
  <c r="DU89" s="1"/>
  <c r="DU88" s="1"/>
  <c r="DU87" s="1"/>
  <c r="DU86" s="1"/>
  <c r="DU85" s="1"/>
  <c r="DU84" s="1"/>
  <c r="DU83" s="1"/>
  <c r="DU82" s="1"/>
  <c r="DU81" s="1"/>
  <c r="W67"/>
  <c r="BA92"/>
  <c r="S57"/>
  <c r="BD86"/>
  <c r="V51"/>
  <c r="BD82"/>
  <c r="V47"/>
  <c r="BB83"/>
  <c r="T48"/>
  <c r="BE75"/>
  <c r="W40"/>
  <c r="AZ81"/>
  <c r="R46"/>
  <c r="BD74"/>
  <c r="V39"/>
  <c r="BD104"/>
  <c r="V69"/>
  <c r="AZ88"/>
  <c r="R53"/>
  <c r="BB98"/>
  <c r="T63"/>
  <c r="BE80"/>
  <c r="W45"/>
  <c r="BD89"/>
  <c r="V54"/>
  <c r="DU80" l="1"/>
  <c r="DU79" s="1"/>
  <c r="DU78" s="1"/>
  <c r="DU77" s="1"/>
  <c r="DU76" s="1"/>
  <c r="DU75" s="1"/>
  <c r="X74" s="1"/>
  <c r="X75" s="1"/>
  <c r="X76" s="1"/>
  <c r="X77" s="1"/>
  <c r="X78" s="1"/>
  <c r="X79" s="1"/>
  <c r="X80" s="1"/>
  <c r="X81" s="1"/>
  <c r="X82" s="1"/>
  <c r="X83" s="1"/>
  <c r="X84" s="1"/>
  <c r="X85" s="1"/>
  <c r="X86" s="1"/>
  <c r="X87" s="1"/>
  <c r="X88" s="1"/>
  <c r="X89" s="1"/>
  <c r="X90" s="1"/>
  <c r="X91" s="1"/>
  <c r="X92" s="1"/>
  <c r="X93" s="1"/>
  <c r="X94" s="1"/>
  <c r="X95" s="1"/>
  <c r="X96" s="1"/>
  <c r="X97" s="1"/>
  <c r="X98" s="1"/>
  <c r="X99" s="1"/>
  <c r="X100" s="1"/>
  <c r="X101" s="1"/>
  <c r="X102" s="1"/>
  <c r="X103" s="1"/>
  <c r="X104" s="1"/>
  <c r="Y74"/>
  <c r="Y75" s="1"/>
  <c r="Y76" s="1"/>
  <c r="Y77" s="1"/>
  <c r="Y78" s="1"/>
  <c r="Y79" s="1"/>
  <c r="Y80" s="1"/>
  <c r="Y81" s="1"/>
  <c r="Y82" s="1"/>
  <c r="Y83" s="1"/>
  <c r="Y84" s="1"/>
  <c r="Y85" s="1"/>
  <c r="Y86" s="1"/>
  <c r="Y87" s="1"/>
  <c r="Y88" s="1"/>
  <c r="Y89" s="1"/>
  <c r="Y90" s="1"/>
  <c r="Y91" s="1"/>
  <c r="Y92" s="1"/>
  <c r="Y93" s="1"/>
  <c r="Y94" s="1"/>
  <c r="Y95" s="1"/>
  <c r="Y96" s="1"/>
  <c r="Y97" s="1"/>
  <c r="Y98" s="1"/>
  <c r="Y99" s="1"/>
  <c r="Y100" s="1"/>
  <c r="Y101" s="1"/>
  <c r="Y102" s="1"/>
  <c r="Y103" s="1"/>
  <c r="Y104" s="1"/>
  <c r="BB99"/>
  <c r="T64"/>
  <c r="BB77"/>
  <c r="T42"/>
  <c r="BC82"/>
  <c r="U47"/>
  <c r="BC100"/>
  <c r="U65"/>
  <c r="BB101"/>
  <c r="T66"/>
  <c r="BB94"/>
  <c r="T59"/>
  <c r="AY91"/>
  <c r="Q56"/>
  <c r="BC79"/>
  <c r="U44"/>
  <c r="AY81"/>
  <c r="Q46"/>
  <c r="BD102"/>
  <c r="DT102" s="1"/>
  <c r="DT101" s="1"/>
  <c r="DT100" s="1"/>
  <c r="DT99" s="1"/>
  <c r="DT98" s="1"/>
  <c r="DT97" s="1"/>
  <c r="DT96" s="1"/>
  <c r="DT95" s="1"/>
  <c r="DT94" s="1"/>
  <c r="DT93" s="1"/>
  <c r="DT92" s="1"/>
  <c r="DT91" s="1"/>
  <c r="DT90" s="1"/>
  <c r="DT89" s="1"/>
  <c r="DT88" s="1"/>
  <c r="DT87" s="1"/>
  <c r="DT86" s="1"/>
  <c r="DT85" s="1"/>
  <c r="DT84" s="1"/>
  <c r="DT83" s="1"/>
  <c r="DT82" s="1"/>
  <c r="DT81" s="1"/>
  <c r="V67"/>
  <c r="BC74"/>
  <c r="U39"/>
  <c r="BC86"/>
  <c r="U51"/>
  <c r="BC90"/>
  <c r="U55"/>
  <c r="BB78"/>
  <c r="T43"/>
  <c r="BC76"/>
  <c r="U41"/>
  <c r="BB95"/>
  <c r="T60"/>
  <c r="BB85"/>
  <c r="T50"/>
  <c r="BD80"/>
  <c r="V45"/>
  <c r="BB87"/>
  <c r="T52"/>
  <c r="AY88"/>
  <c r="Q53"/>
  <c r="BD75"/>
  <c r="V40"/>
  <c r="AZ92"/>
  <c r="R57"/>
  <c r="BC103"/>
  <c r="DS103" s="1"/>
  <c r="U68"/>
  <c r="BA84"/>
  <c r="S49"/>
  <c r="BB93"/>
  <c r="T58"/>
  <c r="BA96"/>
  <c r="S61"/>
  <c r="BA97"/>
  <c r="S62"/>
  <c r="BA98"/>
  <c r="S63"/>
  <c r="BC89"/>
  <c r="U54"/>
  <c r="BC104"/>
  <c r="U69"/>
  <c r="BA83"/>
  <c r="S48"/>
  <c r="DT80" l="1"/>
  <c r="DT79" s="1"/>
  <c r="DT78" s="1"/>
  <c r="DT77" s="1"/>
  <c r="DT76" s="1"/>
  <c r="DT75" s="1"/>
  <c r="DT74" s="1"/>
  <c r="DU74"/>
  <c r="BB103"/>
  <c r="DR103" s="1"/>
  <c r="T68"/>
  <c r="BB76"/>
  <c r="T41"/>
  <c r="BB74"/>
  <c r="T39"/>
  <c r="AX91"/>
  <c r="P56"/>
  <c r="BB82"/>
  <c r="T47"/>
  <c r="AZ97"/>
  <c r="R62"/>
  <c r="AY92"/>
  <c r="Q57"/>
  <c r="BA78"/>
  <c r="S43"/>
  <c r="BC102"/>
  <c r="DS102" s="1"/>
  <c r="DS101" s="1"/>
  <c r="DS100" s="1"/>
  <c r="DS99" s="1"/>
  <c r="DS98" s="1"/>
  <c r="DS97" s="1"/>
  <c r="DS96" s="1"/>
  <c r="DS95" s="1"/>
  <c r="DS94" s="1"/>
  <c r="DS93" s="1"/>
  <c r="DS92" s="1"/>
  <c r="DS91" s="1"/>
  <c r="DS90" s="1"/>
  <c r="DS89" s="1"/>
  <c r="DS88" s="1"/>
  <c r="DS87" s="1"/>
  <c r="DS86" s="1"/>
  <c r="DS85" s="1"/>
  <c r="DS84" s="1"/>
  <c r="DS83" s="1"/>
  <c r="DS82" s="1"/>
  <c r="DS81" s="1"/>
  <c r="U67"/>
  <c r="BA94"/>
  <c r="S59"/>
  <c r="BA77"/>
  <c r="S42"/>
  <c r="BA87"/>
  <c r="S52"/>
  <c r="BB104"/>
  <c r="T69"/>
  <c r="BC80"/>
  <c r="U45"/>
  <c r="BA93"/>
  <c r="S58"/>
  <c r="BC75"/>
  <c r="U40"/>
  <c r="BA85"/>
  <c r="S50"/>
  <c r="BB90"/>
  <c r="T55"/>
  <c r="AX81"/>
  <c r="P46"/>
  <c r="BA101"/>
  <c r="S66"/>
  <c r="BA99"/>
  <c r="S64"/>
  <c r="AZ83"/>
  <c r="R48"/>
  <c r="AZ96"/>
  <c r="R61"/>
  <c r="BB89"/>
  <c r="T54"/>
  <c r="AZ98"/>
  <c r="R63"/>
  <c r="AZ84"/>
  <c r="R49"/>
  <c r="AX88"/>
  <c r="P53"/>
  <c r="BA95"/>
  <c r="S60"/>
  <c r="BB86"/>
  <c r="T51"/>
  <c r="BB79"/>
  <c r="T44"/>
  <c r="BB100"/>
  <c r="T65"/>
  <c r="W74" l="1"/>
  <c r="W75" s="1"/>
  <c r="W76" s="1"/>
  <c r="W77" s="1"/>
  <c r="W78" s="1"/>
  <c r="W79" s="1"/>
  <c r="W80" s="1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DS80"/>
  <c r="DS79" s="1"/>
  <c r="DS78" s="1"/>
  <c r="DS77" s="1"/>
  <c r="DS76" s="1"/>
  <c r="DS75" s="1"/>
  <c r="DS74" s="1"/>
  <c r="AZ77"/>
  <c r="R42"/>
  <c r="AX92"/>
  <c r="P57"/>
  <c r="AW91"/>
  <c r="O56"/>
  <c r="AY83"/>
  <c r="Q48"/>
  <c r="BA90"/>
  <c r="S55"/>
  <c r="BB80"/>
  <c r="T45"/>
  <c r="AZ94"/>
  <c r="R59"/>
  <c r="AY97"/>
  <c r="Q62"/>
  <c r="BA74"/>
  <c r="S39"/>
  <c r="BA86"/>
  <c r="S51"/>
  <c r="AY98"/>
  <c r="Q63"/>
  <c r="AZ99"/>
  <c r="R64"/>
  <c r="AZ85"/>
  <c r="R50"/>
  <c r="BA104"/>
  <c r="S69"/>
  <c r="BA76"/>
  <c r="S41"/>
  <c r="AY84"/>
  <c r="Q49"/>
  <c r="AZ95"/>
  <c r="R60"/>
  <c r="AZ101"/>
  <c r="R66"/>
  <c r="BB75"/>
  <c r="T40"/>
  <c r="AZ87"/>
  <c r="R52"/>
  <c r="BA89"/>
  <c r="S54"/>
  <c r="AZ78"/>
  <c r="R43"/>
  <c r="BA82"/>
  <c r="S47"/>
  <c r="BA103"/>
  <c r="DQ103" s="1"/>
  <c r="S68"/>
  <c r="BA79"/>
  <c r="S44"/>
  <c r="BB102"/>
  <c r="DR102" s="1"/>
  <c r="DR101" s="1"/>
  <c r="DR100" s="1"/>
  <c r="DR99" s="1"/>
  <c r="DR98" s="1"/>
  <c r="DR97" s="1"/>
  <c r="DR96" s="1"/>
  <c r="DR95" s="1"/>
  <c r="DR94" s="1"/>
  <c r="DR93" s="1"/>
  <c r="DR92" s="1"/>
  <c r="DR91" s="1"/>
  <c r="DR90" s="1"/>
  <c r="DR89" s="1"/>
  <c r="DR88" s="1"/>
  <c r="DR87" s="1"/>
  <c r="DR86" s="1"/>
  <c r="DR85" s="1"/>
  <c r="DR84" s="1"/>
  <c r="DR83" s="1"/>
  <c r="DR82" s="1"/>
  <c r="DR81" s="1"/>
  <c r="T67"/>
  <c r="BA100"/>
  <c r="S65"/>
  <c r="AW88"/>
  <c r="O53"/>
  <c r="AY96"/>
  <c r="Q61"/>
  <c r="AW81"/>
  <c r="O46"/>
  <c r="AZ93"/>
  <c r="R58"/>
  <c r="DR80" l="1"/>
  <c r="DR79" s="1"/>
  <c r="DR78" s="1"/>
  <c r="DR77" s="1"/>
  <c r="DR76" s="1"/>
  <c r="DR75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V74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BA75"/>
  <c r="S40"/>
  <c r="AZ76"/>
  <c r="R41"/>
  <c r="AX98"/>
  <c r="P63"/>
  <c r="AY94"/>
  <c r="Q59"/>
  <c r="AV91"/>
  <c r="N56"/>
  <c r="AZ100"/>
  <c r="R65"/>
  <c r="AY101"/>
  <c r="Q66"/>
  <c r="AZ104"/>
  <c r="R69"/>
  <c r="AZ86"/>
  <c r="R51"/>
  <c r="BA80"/>
  <c r="S45"/>
  <c r="AW92"/>
  <c r="O57"/>
  <c r="AZ82"/>
  <c r="R47"/>
  <c r="AV81"/>
  <c r="N46"/>
  <c r="AY78"/>
  <c r="Q43"/>
  <c r="AX96"/>
  <c r="P61"/>
  <c r="AZ79"/>
  <c r="R44"/>
  <c r="AZ89"/>
  <c r="R54"/>
  <c r="AY95"/>
  <c r="Q60"/>
  <c r="AY85"/>
  <c r="Q50"/>
  <c r="AZ74"/>
  <c r="R39"/>
  <c r="AZ90"/>
  <c r="R55"/>
  <c r="AY77"/>
  <c r="Q42"/>
  <c r="AY93"/>
  <c r="Q58"/>
  <c r="BA102"/>
  <c r="DQ102" s="1"/>
  <c r="DQ101" s="1"/>
  <c r="DQ100" s="1"/>
  <c r="DQ99" s="1"/>
  <c r="DQ98" s="1"/>
  <c r="DQ97" s="1"/>
  <c r="DQ96" s="1"/>
  <c r="DQ95" s="1"/>
  <c r="DQ94" s="1"/>
  <c r="DQ93" s="1"/>
  <c r="DQ92" s="1"/>
  <c r="DQ91" s="1"/>
  <c r="DQ90" s="1"/>
  <c r="DQ89" s="1"/>
  <c r="DQ88" s="1"/>
  <c r="DQ87" s="1"/>
  <c r="DQ86" s="1"/>
  <c r="DQ85" s="1"/>
  <c r="DQ84" s="1"/>
  <c r="DQ83" s="1"/>
  <c r="DQ82" s="1"/>
  <c r="DQ81" s="1"/>
  <c r="S67"/>
  <c r="AV88"/>
  <c r="N53"/>
  <c r="AZ103"/>
  <c r="DP103" s="1"/>
  <c r="R68"/>
  <c r="AY87"/>
  <c r="Q52"/>
  <c r="AX84"/>
  <c r="P49"/>
  <c r="AY99"/>
  <c r="Q64"/>
  <c r="AX97"/>
  <c r="P62"/>
  <c r="AX83"/>
  <c r="P48"/>
  <c r="DR74" l="1"/>
  <c r="DQ80"/>
  <c r="DQ79" s="1"/>
  <c r="DQ78" s="1"/>
  <c r="DQ77" s="1"/>
  <c r="DQ76" s="1"/>
  <c r="DQ75" s="1"/>
  <c r="DQ74" s="1"/>
  <c r="AX85"/>
  <c r="P50"/>
  <c r="AV92"/>
  <c r="N57"/>
  <c r="AX101"/>
  <c r="P66"/>
  <c r="AW98"/>
  <c r="O63"/>
  <c r="AX99"/>
  <c r="P64"/>
  <c r="AU88"/>
  <c r="M53"/>
  <c r="AX77"/>
  <c r="P42"/>
  <c r="AX95"/>
  <c r="P60"/>
  <c r="AX78"/>
  <c r="P43"/>
  <c r="AZ80"/>
  <c r="R45"/>
  <c r="AY100"/>
  <c r="Q65"/>
  <c r="AY76"/>
  <c r="Q41"/>
  <c r="AW96"/>
  <c r="O61"/>
  <c r="AY103"/>
  <c r="DO103" s="1"/>
  <c r="Q68"/>
  <c r="AZ102"/>
  <c r="DP102" s="1"/>
  <c r="DP101" s="1"/>
  <c r="DP100" s="1"/>
  <c r="DP99" s="1"/>
  <c r="DP98" s="1"/>
  <c r="DP97" s="1"/>
  <c r="DP96" s="1"/>
  <c r="DP95" s="1"/>
  <c r="DP94" s="1"/>
  <c r="DP93" s="1"/>
  <c r="DP92" s="1"/>
  <c r="DP91" s="1"/>
  <c r="DP90" s="1"/>
  <c r="DP89" s="1"/>
  <c r="DP88" s="1"/>
  <c r="DP87" s="1"/>
  <c r="DP86" s="1"/>
  <c r="DP85" s="1"/>
  <c r="DP84" s="1"/>
  <c r="DP83" s="1"/>
  <c r="DP82" s="1"/>
  <c r="DP81" s="1"/>
  <c r="R67"/>
  <c r="AY89"/>
  <c r="Q54"/>
  <c r="AU81"/>
  <c r="M46"/>
  <c r="AY86"/>
  <c r="Q51"/>
  <c r="AU91"/>
  <c r="M56"/>
  <c r="AZ75"/>
  <c r="R40"/>
  <c r="AW97"/>
  <c r="O62"/>
  <c r="AW84"/>
  <c r="O49"/>
  <c r="AY90"/>
  <c r="Q55"/>
  <c r="AW83"/>
  <c r="O48"/>
  <c r="AX87"/>
  <c r="P52"/>
  <c r="AX93"/>
  <c r="P58"/>
  <c r="AY74"/>
  <c r="Q39"/>
  <c r="AY79"/>
  <c r="Q44"/>
  <c r="AY82"/>
  <c r="Q47"/>
  <c r="AY104"/>
  <c r="Q69"/>
  <c r="AX94"/>
  <c r="P59"/>
  <c r="DP80" l="1"/>
  <c r="DP79" s="1"/>
  <c r="DP78" s="1"/>
  <c r="DP77" s="1"/>
  <c r="DP76" s="1"/>
  <c r="DP75" s="1"/>
  <c r="DP74" s="1"/>
  <c r="T74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AT91"/>
  <c r="L56"/>
  <c r="AY102"/>
  <c r="DO102" s="1"/>
  <c r="DO101" s="1"/>
  <c r="DO100" s="1"/>
  <c r="DO99" s="1"/>
  <c r="DO98" s="1"/>
  <c r="DO97" s="1"/>
  <c r="DO96" s="1"/>
  <c r="DO95" s="1"/>
  <c r="DO94" s="1"/>
  <c r="DO93" s="1"/>
  <c r="DO92" s="1"/>
  <c r="DO91" s="1"/>
  <c r="DO90" s="1"/>
  <c r="DO89" s="1"/>
  <c r="DO88" s="1"/>
  <c r="DO87" s="1"/>
  <c r="DO86" s="1"/>
  <c r="DO85" s="1"/>
  <c r="DO84" s="1"/>
  <c r="DO83" s="1"/>
  <c r="DO82" s="1"/>
  <c r="DO81" s="1"/>
  <c r="Q67"/>
  <c r="AX100"/>
  <c r="P65"/>
  <c r="AW77"/>
  <c r="O42"/>
  <c r="AW101"/>
  <c r="O66"/>
  <c r="AV84"/>
  <c r="N49"/>
  <c r="AX86"/>
  <c r="P51"/>
  <c r="AX103"/>
  <c r="DN103" s="1"/>
  <c r="P68"/>
  <c r="AY80"/>
  <c r="Q45"/>
  <c r="AT88"/>
  <c r="L53"/>
  <c r="AU92"/>
  <c r="M57"/>
  <c r="AX104"/>
  <c r="P69"/>
  <c r="AX82"/>
  <c r="P47"/>
  <c r="AW87"/>
  <c r="O52"/>
  <c r="AV97"/>
  <c r="N62"/>
  <c r="AT81"/>
  <c r="L46"/>
  <c r="AV96"/>
  <c r="N61"/>
  <c r="AW78"/>
  <c r="O43"/>
  <c r="AW99"/>
  <c r="O64"/>
  <c r="AW85"/>
  <c r="O50"/>
  <c r="AW93"/>
  <c r="O58"/>
  <c r="AX79"/>
  <c r="P44"/>
  <c r="AV83"/>
  <c r="N48"/>
  <c r="AY75"/>
  <c r="Q40"/>
  <c r="AX89"/>
  <c r="P54"/>
  <c r="AX76"/>
  <c r="P41"/>
  <c r="AW95"/>
  <c r="O60"/>
  <c r="AV98"/>
  <c r="N63"/>
  <c r="AW94"/>
  <c r="O59"/>
  <c r="AX74"/>
  <c r="P39"/>
  <c r="AX90"/>
  <c r="P55"/>
  <c r="S74" l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DO80"/>
  <c r="DO79" s="1"/>
  <c r="DO78" s="1"/>
  <c r="DO77" s="1"/>
  <c r="DO76" s="1"/>
  <c r="DO75" s="1"/>
  <c r="DO74" s="1"/>
  <c r="AT92"/>
  <c r="L57"/>
  <c r="AW86"/>
  <c r="O51"/>
  <c r="AW100"/>
  <c r="O65"/>
  <c r="AV87"/>
  <c r="N52"/>
  <c r="AS88"/>
  <c r="K53"/>
  <c r="AU84"/>
  <c r="M49"/>
  <c r="AX102"/>
  <c r="DN102" s="1"/>
  <c r="DN101" s="1"/>
  <c r="DN100" s="1"/>
  <c r="DN99" s="1"/>
  <c r="DN98" s="1"/>
  <c r="DN97" s="1"/>
  <c r="DN96" s="1"/>
  <c r="DN95" s="1"/>
  <c r="DN94" s="1"/>
  <c r="DN93" s="1"/>
  <c r="DN92" s="1"/>
  <c r="DN91" s="1"/>
  <c r="DN90" s="1"/>
  <c r="DN89" s="1"/>
  <c r="DN88" s="1"/>
  <c r="DN87" s="1"/>
  <c r="DN86" s="1"/>
  <c r="DN85" s="1"/>
  <c r="DN84" s="1"/>
  <c r="DN83" s="1"/>
  <c r="DN82" s="1"/>
  <c r="DN81" s="1"/>
  <c r="P67"/>
  <c r="AW79"/>
  <c r="O44"/>
  <c r="AV94"/>
  <c r="N59"/>
  <c r="AW89"/>
  <c r="O54"/>
  <c r="AV93"/>
  <c r="N58"/>
  <c r="AU96"/>
  <c r="M61"/>
  <c r="AW74"/>
  <c r="O39"/>
  <c r="AV78"/>
  <c r="N43"/>
  <c r="AW82"/>
  <c r="O47"/>
  <c r="AX80"/>
  <c r="P45"/>
  <c r="AV101"/>
  <c r="N66"/>
  <c r="AS91"/>
  <c r="K56"/>
  <c r="AW76"/>
  <c r="O41"/>
  <c r="AU98"/>
  <c r="M63"/>
  <c r="AX75"/>
  <c r="P40"/>
  <c r="AV85"/>
  <c r="N50"/>
  <c r="AS81"/>
  <c r="K46"/>
  <c r="AW104"/>
  <c r="O69"/>
  <c r="AW103"/>
  <c r="DM103" s="1"/>
  <c r="O68"/>
  <c r="AV77"/>
  <c r="N42"/>
  <c r="AW90"/>
  <c r="O55"/>
  <c r="AV95"/>
  <c r="N60"/>
  <c r="AU83"/>
  <c r="M48"/>
  <c r="AV99"/>
  <c r="N64"/>
  <c r="AU97"/>
  <c r="M62"/>
  <c r="DN80" l="1"/>
  <c r="DN79" s="1"/>
  <c r="DN78" s="1"/>
  <c r="DN77" s="1"/>
  <c r="DN76" s="1"/>
  <c r="DN75" s="1"/>
  <c r="Q74" s="1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R74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R102" s="1"/>
  <c r="R103" s="1"/>
  <c r="R104" s="1"/>
  <c r="AT97"/>
  <c r="L62"/>
  <c r="AV82"/>
  <c r="N47"/>
  <c r="AU93"/>
  <c r="M58"/>
  <c r="AW102"/>
  <c r="DM102" s="1"/>
  <c r="DM101" s="1"/>
  <c r="DM100" s="1"/>
  <c r="DM99" s="1"/>
  <c r="DM98" s="1"/>
  <c r="DM97" s="1"/>
  <c r="DM96" s="1"/>
  <c r="DM95" s="1"/>
  <c r="DM94" s="1"/>
  <c r="DM93" s="1"/>
  <c r="DM92" s="1"/>
  <c r="DM91" s="1"/>
  <c r="DM90" s="1"/>
  <c r="DM89" s="1"/>
  <c r="DM88" s="1"/>
  <c r="DM87" s="1"/>
  <c r="DM86" s="1"/>
  <c r="DM85" s="1"/>
  <c r="DM84" s="1"/>
  <c r="DM83" s="1"/>
  <c r="DM82" s="1"/>
  <c r="DM81" s="1"/>
  <c r="O67"/>
  <c r="AU85"/>
  <c r="M50"/>
  <c r="AV89"/>
  <c r="N54"/>
  <c r="AT84"/>
  <c r="L49"/>
  <c r="AV100"/>
  <c r="N65"/>
  <c r="AV76"/>
  <c r="N41"/>
  <c r="AU78"/>
  <c r="M43"/>
  <c r="AU99"/>
  <c r="M64"/>
  <c r="AT83"/>
  <c r="L48"/>
  <c r="AW75"/>
  <c r="O40"/>
  <c r="AU101"/>
  <c r="M66"/>
  <c r="AV74"/>
  <c r="N39"/>
  <c r="AU94"/>
  <c r="M59"/>
  <c r="AR88"/>
  <c r="J53"/>
  <c r="AV86"/>
  <c r="N51"/>
  <c r="AV90"/>
  <c r="N55"/>
  <c r="AU77"/>
  <c r="M42"/>
  <c r="AR81"/>
  <c r="J46"/>
  <c r="AU95"/>
  <c r="M60"/>
  <c r="AV104"/>
  <c r="N69"/>
  <c r="AT98"/>
  <c r="L63"/>
  <c r="AW80"/>
  <c r="O45"/>
  <c r="AT96"/>
  <c r="L61"/>
  <c r="AV79"/>
  <c r="N44"/>
  <c r="AU87"/>
  <c r="M52"/>
  <c r="AS92"/>
  <c r="K57"/>
  <c r="AR91"/>
  <c r="J56"/>
  <c r="AV103"/>
  <c r="DL103" s="1"/>
  <c r="N68"/>
  <c r="DM80" l="1"/>
  <c r="DM79" s="1"/>
  <c r="DM78" s="1"/>
  <c r="DM77" s="1"/>
  <c r="DM76" s="1"/>
  <c r="DM75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DN74"/>
  <c r="AU104"/>
  <c r="M69"/>
  <c r="AU90"/>
  <c r="M55"/>
  <c r="AU74"/>
  <c r="M39"/>
  <c r="AT99"/>
  <c r="L64"/>
  <c r="AS84"/>
  <c r="K49"/>
  <c r="AT93"/>
  <c r="L58"/>
  <c r="AU103"/>
  <c r="DK103" s="1"/>
  <c r="M68"/>
  <c r="AQ91"/>
  <c r="I56"/>
  <c r="AU86"/>
  <c r="M51"/>
  <c r="AT101"/>
  <c r="L66"/>
  <c r="AT78"/>
  <c r="L43"/>
  <c r="AU89"/>
  <c r="M54"/>
  <c r="AU82"/>
  <c r="M47"/>
  <c r="AT95"/>
  <c r="L60"/>
  <c r="AR92"/>
  <c r="J57"/>
  <c r="AV80"/>
  <c r="N45"/>
  <c r="AQ81"/>
  <c r="I46"/>
  <c r="AQ88"/>
  <c r="I53"/>
  <c r="AV75"/>
  <c r="N40"/>
  <c r="AU76"/>
  <c r="M41"/>
  <c r="AT85"/>
  <c r="L50"/>
  <c r="AS97"/>
  <c r="K62"/>
  <c r="AT87"/>
  <c r="L52"/>
  <c r="AU79"/>
  <c r="M44"/>
  <c r="AS96"/>
  <c r="K61"/>
  <c r="AS98"/>
  <c r="K63"/>
  <c r="AT77"/>
  <c r="L42"/>
  <c r="AT94"/>
  <c r="L59"/>
  <c r="AS83"/>
  <c r="K48"/>
  <c r="AU100"/>
  <c r="M65"/>
  <c r="AV102"/>
  <c r="DL102" s="1"/>
  <c r="DL101" s="1"/>
  <c r="DL100" s="1"/>
  <c r="DL99" s="1"/>
  <c r="DL98" s="1"/>
  <c r="DL97" s="1"/>
  <c r="DL96" s="1"/>
  <c r="DL95" s="1"/>
  <c r="DL94" s="1"/>
  <c r="DL93" s="1"/>
  <c r="DL92" s="1"/>
  <c r="DL91" s="1"/>
  <c r="DL90" s="1"/>
  <c r="DL89" s="1"/>
  <c r="DL88" s="1"/>
  <c r="DL87" s="1"/>
  <c r="DL86" s="1"/>
  <c r="DL85" s="1"/>
  <c r="DL84" s="1"/>
  <c r="DL83" s="1"/>
  <c r="DL82" s="1"/>
  <c r="DL81" s="1"/>
  <c r="N67"/>
  <c r="DL80" l="1"/>
  <c r="DL79" s="1"/>
  <c r="DL78" s="1"/>
  <c r="DL77" s="1"/>
  <c r="DL76" s="1"/>
  <c r="DL75" s="1"/>
  <c r="O74" s="1"/>
  <c r="O75" s="1"/>
  <c r="O76" s="1"/>
  <c r="O77" s="1"/>
  <c r="O78" s="1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O102" s="1"/>
  <c r="O103" s="1"/>
  <c r="O104" s="1"/>
  <c r="DM74"/>
  <c r="AS87"/>
  <c r="K52"/>
  <c r="AT103"/>
  <c r="DJ103" s="1"/>
  <c r="L68"/>
  <c r="AT74"/>
  <c r="L39"/>
  <c r="AS77"/>
  <c r="K42"/>
  <c r="AS95"/>
  <c r="K60"/>
  <c r="AQ92"/>
  <c r="I57"/>
  <c r="AS93"/>
  <c r="K58"/>
  <c r="AT90"/>
  <c r="L55"/>
  <c r="AR98"/>
  <c r="J63"/>
  <c r="AR83"/>
  <c r="J48"/>
  <c r="AR96"/>
  <c r="J61"/>
  <c r="AS85"/>
  <c r="K50"/>
  <c r="AP81"/>
  <c r="H46"/>
  <c r="AO81" s="1"/>
  <c r="AT82"/>
  <c r="L47"/>
  <c r="AT86"/>
  <c r="L51"/>
  <c r="AT100"/>
  <c r="L65"/>
  <c r="AS101"/>
  <c r="K66"/>
  <c r="AR84"/>
  <c r="J49"/>
  <c r="AT104"/>
  <c r="L69"/>
  <c r="AU102"/>
  <c r="DK102" s="1"/>
  <c r="DK101" s="1"/>
  <c r="DK100" s="1"/>
  <c r="DK99" s="1"/>
  <c r="DK98" s="1"/>
  <c r="DK97" s="1"/>
  <c r="DK96" s="1"/>
  <c r="DK95" s="1"/>
  <c r="DK94" s="1"/>
  <c r="DK93" s="1"/>
  <c r="DK92" s="1"/>
  <c r="DK91" s="1"/>
  <c r="DK90" s="1"/>
  <c r="DK89" s="1"/>
  <c r="DK88" s="1"/>
  <c r="DK87" s="1"/>
  <c r="DK86" s="1"/>
  <c r="DK85" s="1"/>
  <c r="DK84" s="1"/>
  <c r="DK83" s="1"/>
  <c r="DK82" s="1"/>
  <c r="DK81" s="1"/>
  <c r="M67"/>
  <c r="AR97"/>
  <c r="J62"/>
  <c r="AS94"/>
  <c r="K59"/>
  <c r="AT76"/>
  <c r="L41"/>
  <c r="AU80"/>
  <c r="M45"/>
  <c r="AT89"/>
  <c r="L54"/>
  <c r="AS78"/>
  <c r="K43"/>
  <c r="AP88"/>
  <c r="H53"/>
  <c r="AO88" s="1"/>
  <c r="AT79"/>
  <c r="L44"/>
  <c r="AP91"/>
  <c r="H56"/>
  <c r="AO91" s="1"/>
  <c r="AS99"/>
  <c r="K64"/>
  <c r="AU75"/>
  <c r="M40"/>
  <c r="DL74" l="1"/>
  <c r="DK80"/>
  <c r="DK79" s="1"/>
  <c r="DK78" s="1"/>
  <c r="DK77" s="1"/>
  <c r="DK76" s="1"/>
  <c r="DK75" s="1"/>
  <c r="N74" s="1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N98" s="1"/>
  <c r="N99" s="1"/>
  <c r="N100" s="1"/>
  <c r="N101" s="1"/>
  <c r="N102" s="1"/>
  <c r="N103" s="1"/>
  <c r="N104" s="1"/>
  <c r="AS74"/>
  <c r="K39"/>
  <c r="AR99"/>
  <c r="J64"/>
  <c r="AR78"/>
  <c r="J43"/>
  <c r="AR94"/>
  <c r="J59"/>
  <c r="AQ84"/>
  <c r="I49"/>
  <c r="AS82"/>
  <c r="K47"/>
  <c r="AQ83"/>
  <c r="I48"/>
  <c r="AP92"/>
  <c r="H57"/>
  <c r="AO92" s="1"/>
  <c r="AS103"/>
  <c r="DI103" s="1"/>
  <c r="K68"/>
  <c r="AS89"/>
  <c r="K54"/>
  <c r="AQ97"/>
  <c r="I62"/>
  <c r="AR101"/>
  <c r="J66"/>
  <c r="AQ98"/>
  <c r="I63"/>
  <c r="AR95"/>
  <c r="J60"/>
  <c r="AR87"/>
  <c r="J52"/>
  <c r="AS76"/>
  <c r="K41"/>
  <c r="AS79"/>
  <c r="K44"/>
  <c r="AT80"/>
  <c r="L45"/>
  <c r="AT102"/>
  <c r="DJ102" s="1"/>
  <c r="DJ101" s="1"/>
  <c r="DJ100" s="1"/>
  <c r="DJ99" s="1"/>
  <c r="DJ98" s="1"/>
  <c r="DJ97" s="1"/>
  <c r="DJ96" s="1"/>
  <c r="DJ95" s="1"/>
  <c r="DJ94" s="1"/>
  <c r="DJ93" s="1"/>
  <c r="DJ92" s="1"/>
  <c r="DJ91" s="1"/>
  <c r="DJ90" s="1"/>
  <c r="DJ89" s="1"/>
  <c r="DJ88" s="1"/>
  <c r="DJ87" s="1"/>
  <c r="DJ86" s="1"/>
  <c r="DJ85" s="1"/>
  <c r="DJ84" s="1"/>
  <c r="DJ83" s="1"/>
  <c r="DJ82" s="1"/>
  <c r="DJ81" s="1"/>
  <c r="L67"/>
  <c r="AS100"/>
  <c r="K65"/>
  <c r="AR85"/>
  <c r="J50"/>
  <c r="AS90"/>
  <c r="K55"/>
  <c r="AR77"/>
  <c r="J42"/>
  <c r="AT75"/>
  <c r="L40"/>
  <c r="AS104"/>
  <c r="K69"/>
  <c r="AS86"/>
  <c r="K51"/>
  <c r="AQ96"/>
  <c r="I61"/>
  <c r="AR93"/>
  <c r="J58"/>
  <c r="DJ80" l="1"/>
  <c r="DJ79" s="1"/>
  <c r="DJ78" s="1"/>
  <c r="DJ77" s="1"/>
  <c r="DJ76" s="1"/>
  <c r="DJ75" s="1"/>
  <c r="DJ74" s="1"/>
  <c r="DK74"/>
  <c r="AR90"/>
  <c r="J55"/>
  <c r="AQ95"/>
  <c r="I60"/>
  <c r="AR89"/>
  <c r="J54"/>
  <c r="AS80"/>
  <c r="K45"/>
  <c r="AQ85"/>
  <c r="I50"/>
  <c r="AR86"/>
  <c r="J51"/>
  <c r="AP83"/>
  <c r="H48"/>
  <c r="AO83" s="1"/>
  <c r="AR82"/>
  <c r="J47"/>
  <c r="AQ99"/>
  <c r="I64"/>
  <c r="AR104"/>
  <c r="J69"/>
  <c r="AP98"/>
  <c r="H63"/>
  <c r="AO98" s="1"/>
  <c r="AR76"/>
  <c r="J41"/>
  <c r="AQ94"/>
  <c r="I59"/>
  <c r="AQ78"/>
  <c r="I43"/>
  <c r="AR79"/>
  <c r="J44"/>
  <c r="AQ93"/>
  <c r="I58"/>
  <c r="AS75"/>
  <c r="K40"/>
  <c r="AR100"/>
  <c r="J65"/>
  <c r="AQ101"/>
  <c r="I66"/>
  <c r="AR103"/>
  <c r="DH103" s="1"/>
  <c r="J68"/>
  <c r="AP84"/>
  <c r="H49"/>
  <c r="AO84" s="1"/>
  <c r="AR74"/>
  <c r="J39"/>
  <c r="AP96"/>
  <c r="H61"/>
  <c r="AO96" s="1"/>
  <c r="AQ77"/>
  <c r="I42"/>
  <c r="AS102"/>
  <c r="DI102" s="1"/>
  <c r="DI101" s="1"/>
  <c r="DI100" s="1"/>
  <c r="DI99" s="1"/>
  <c r="DI98" s="1"/>
  <c r="DI97" s="1"/>
  <c r="DI96" s="1"/>
  <c r="DI95" s="1"/>
  <c r="DI94" s="1"/>
  <c r="DI93" s="1"/>
  <c r="DI92" s="1"/>
  <c r="DI91" s="1"/>
  <c r="DI90" s="1"/>
  <c r="DI89" s="1"/>
  <c r="DI88" s="1"/>
  <c r="DI87" s="1"/>
  <c r="DI86" s="1"/>
  <c r="DI85" s="1"/>
  <c r="DI84" s="1"/>
  <c r="DI83" s="1"/>
  <c r="DI82" s="1"/>
  <c r="DI81" s="1"/>
  <c r="K67"/>
  <c r="AQ87"/>
  <c r="I52"/>
  <c r="AP97"/>
  <c r="H62"/>
  <c r="AO97" s="1"/>
  <c r="DI80" l="1"/>
  <c r="DI79" s="1"/>
  <c r="DI78" s="1"/>
  <c r="DI77" s="1"/>
  <c r="DI76" s="1"/>
  <c r="DI75" s="1"/>
  <c r="DI74" s="1"/>
  <c r="M74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AQ79"/>
  <c r="I44"/>
  <c r="AQ89"/>
  <c r="I54"/>
  <c r="AP77"/>
  <c r="H42"/>
  <c r="AO77" s="1"/>
  <c r="AP101"/>
  <c r="H66"/>
  <c r="AO101" s="1"/>
  <c r="AP78"/>
  <c r="H43"/>
  <c r="AO78" s="1"/>
  <c r="AQ104"/>
  <c r="I69"/>
  <c r="AQ86"/>
  <c r="I51"/>
  <c r="AP95"/>
  <c r="H60"/>
  <c r="AO95" s="1"/>
  <c r="AQ74"/>
  <c r="I39"/>
  <c r="AP87"/>
  <c r="H52"/>
  <c r="AO87" s="1"/>
  <c r="AR75"/>
  <c r="J40"/>
  <c r="AP94"/>
  <c r="H59"/>
  <c r="AO94" s="1"/>
  <c r="AP99"/>
  <c r="H64"/>
  <c r="AO99" s="1"/>
  <c r="AP85"/>
  <c r="H50"/>
  <c r="AO85" s="1"/>
  <c r="AQ90"/>
  <c r="I55"/>
  <c r="AP93"/>
  <c r="H58"/>
  <c r="AO93" s="1"/>
  <c r="AQ100"/>
  <c r="I65"/>
  <c r="AR102"/>
  <c r="DH102" s="1"/>
  <c r="DH101" s="1"/>
  <c r="DH100" s="1"/>
  <c r="DH99" s="1"/>
  <c r="DH98" s="1"/>
  <c r="DH97" s="1"/>
  <c r="DH96" s="1"/>
  <c r="DH95" s="1"/>
  <c r="DH94" s="1"/>
  <c r="DH93" s="1"/>
  <c r="DH92" s="1"/>
  <c r="DH91" s="1"/>
  <c r="DH90" s="1"/>
  <c r="DH89" s="1"/>
  <c r="DH88" s="1"/>
  <c r="DH87" s="1"/>
  <c r="DH86" s="1"/>
  <c r="DH85" s="1"/>
  <c r="DH84" s="1"/>
  <c r="DH83" s="1"/>
  <c r="DH82" s="1"/>
  <c r="DH81" s="1"/>
  <c r="J67"/>
  <c r="AQ103"/>
  <c r="DG103" s="1"/>
  <c r="I68"/>
  <c r="AQ76"/>
  <c r="I41"/>
  <c r="AQ82"/>
  <c r="I47"/>
  <c r="AR80"/>
  <c r="J45"/>
  <c r="L74" l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DH80"/>
  <c r="DH79" s="1"/>
  <c r="DH78" s="1"/>
  <c r="DH77" s="1"/>
  <c r="DH76" s="1"/>
  <c r="DH75" s="1"/>
  <c r="DH74" s="1"/>
  <c r="AQ102"/>
  <c r="DG102" s="1"/>
  <c r="DG101" s="1"/>
  <c r="DG100" s="1"/>
  <c r="DG99" s="1"/>
  <c r="DG98" s="1"/>
  <c r="DG97" s="1"/>
  <c r="DG96" s="1"/>
  <c r="DG95" s="1"/>
  <c r="DG94" s="1"/>
  <c r="DG93" s="1"/>
  <c r="DG92" s="1"/>
  <c r="DG91" s="1"/>
  <c r="DG90" s="1"/>
  <c r="DG89" s="1"/>
  <c r="DG88" s="1"/>
  <c r="DG87" s="1"/>
  <c r="DG86" s="1"/>
  <c r="DG85" s="1"/>
  <c r="DG84" s="1"/>
  <c r="DG83" s="1"/>
  <c r="DG82" s="1"/>
  <c r="DG81" s="1"/>
  <c r="I67"/>
  <c r="AP86"/>
  <c r="H51"/>
  <c r="AO86" s="1"/>
  <c r="AP90"/>
  <c r="H55"/>
  <c r="AO90" s="1"/>
  <c r="AP104"/>
  <c r="H69"/>
  <c r="AO104" s="1"/>
  <c r="AP89"/>
  <c r="H54"/>
  <c r="AO89" s="1"/>
  <c r="AQ75"/>
  <c r="I40"/>
  <c r="AP82"/>
  <c r="H47"/>
  <c r="AO82" s="1"/>
  <c r="AP103"/>
  <c r="DF103" s="1"/>
  <c r="H68"/>
  <c r="AO103" s="1"/>
  <c r="DE103" s="1"/>
  <c r="AP76"/>
  <c r="H41"/>
  <c r="AO76" s="1"/>
  <c r="AP74"/>
  <c r="H39"/>
  <c r="AO74" s="1"/>
  <c r="AP79"/>
  <c r="H44"/>
  <c r="AO79" s="1"/>
  <c r="AQ80"/>
  <c r="I45"/>
  <c r="AP100"/>
  <c r="H65"/>
  <c r="AO100" s="1"/>
  <c r="DG80" l="1"/>
  <c r="DG79" s="1"/>
  <c r="DG78" s="1"/>
  <c r="DG77" s="1"/>
  <c r="DG76" s="1"/>
  <c r="DG75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K74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AP75"/>
  <c r="H40"/>
  <c r="AO75" s="1"/>
  <c r="AP102"/>
  <c r="DF102" s="1"/>
  <c r="DF101" s="1"/>
  <c r="DF100" s="1"/>
  <c r="DF99" s="1"/>
  <c r="DF98" s="1"/>
  <c r="DF97" s="1"/>
  <c r="DF96" s="1"/>
  <c r="DF95" s="1"/>
  <c r="DF94" s="1"/>
  <c r="DF93" s="1"/>
  <c r="DF92" s="1"/>
  <c r="DF91" s="1"/>
  <c r="DF90" s="1"/>
  <c r="DF89" s="1"/>
  <c r="DF88" s="1"/>
  <c r="DF87" s="1"/>
  <c r="DF86" s="1"/>
  <c r="DF85" s="1"/>
  <c r="DF84" s="1"/>
  <c r="DF83" s="1"/>
  <c r="DF82" s="1"/>
  <c r="DF81" s="1"/>
  <c r="H67"/>
  <c r="AO102" s="1"/>
  <c r="DE102" s="1"/>
  <c r="DE101" s="1"/>
  <c r="DE100" s="1"/>
  <c r="DE99" s="1"/>
  <c r="DE98" s="1"/>
  <c r="DE97" s="1"/>
  <c r="DE96" s="1"/>
  <c r="DE95" s="1"/>
  <c r="DE94" s="1"/>
  <c r="DE93" s="1"/>
  <c r="DE92" s="1"/>
  <c r="DE91" s="1"/>
  <c r="DE90" s="1"/>
  <c r="DE89" s="1"/>
  <c r="DE88" s="1"/>
  <c r="DE87" s="1"/>
  <c r="DE86" s="1"/>
  <c r="DE85" s="1"/>
  <c r="DE84" s="1"/>
  <c r="DE83" s="1"/>
  <c r="DE82" s="1"/>
  <c r="DE81" s="1"/>
  <c r="AP80"/>
  <c r="H45"/>
  <c r="AO80" s="1"/>
  <c r="DE80" l="1"/>
  <c r="DE79" s="1"/>
  <c r="DE78" s="1"/>
  <c r="DE77" s="1"/>
  <c r="DE76" s="1"/>
  <c r="DE75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DF80"/>
  <c r="DF79" s="1"/>
  <c r="DF78" s="1"/>
  <c r="DF77" s="1"/>
  <c r="DF76" s="1"/>
  <c r="DF75" s="1"/>
  <c r="DF74" s="1"/>
  <c r="DG74"/>
  <c r="DE74" l="1"/>
  <c r="I74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</calcChain>
</file>

<file path=xl/sharedStrings.xml><?xml version="1.0" encoding="utf-8"?>
<sst xmlns="http://schemas.openxmlformats.org/spreadsheetml/2006/main" count="38" uniqueCount="30">
  <si>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</si>
  <si>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</si>
  <si>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</si>
  <si>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</si>
  <si>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</si>
  <si>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</si>
  <si>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</si>
  <si>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</si>
  <si>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</si>
  <si>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</si>
  <si>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</si>
  <si>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</si>
  <si>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T_start</t>
  </si>
  <si>
    <t>T_end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</si>
  <si>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</si>
  <si>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</si>
  <si>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</si>
  <si>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</si>
  <si>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</si>
  <si>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</si>
  <si>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</si>
  <si>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</si>
  <si>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Граничные условия</t>
  </si>
  <si>
    <t>Aх</t>
  </si>
  <si>
    <t>Вх</t>
  </si>
  <si>
    <t>Cх</t>
  </si>
  <si>
    <t>Aу</t>
  </si>
  <si>
    <t>Bу</t>
  </si>
  <si>
    <t>Cу</t>
  </si>
  <si>
    <t>λ</t>
  </si>
</sst>
</file>

<file path=xl/styles.xml><?xml version="1.0" encoding="utf-8"?>
<styleSheet xmlns="http://schemas.openxmlformats.org/spreadsheetml/2006/main">
  <numFmts count="1">
    <numFmt numFmtId="164" formatCode="0.0000"/>
  </numFmts>
  <fonts count="6"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2" xfId="0" applyFill="1" applyBorder="1"/>
    <xf numFmtId="164" fontId="0" fillId="2" borderId="1" xfId="0" applyNumberFormat="1" applyFill="1" applyBorder="1" applyAlignment="1">
      <alignment horizontal="center" vertical="center"/>
    </xf>
    <xf numFmtId="0" fontId="0" fillId="2" borderId="3" xfId="0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Border="1"/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/>
    <xf numFmtId="0" fontId="0" fillId="3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/>
    <xf numFmtId="0" fontId="4" fillId="0" borderId="1" xfId="0" applyFont="1" applyBorder="1"/>
    <xf numFmtId="0" fontId="0" fillId="0" borderId="2" xfId="0" applyBorder="1"/>
    <xf numFmtId="0" fontId="0" fillId="0" borderId="0" xfId="0" applyAlignment="1"/>
    <xf numFmtId="0" fontId="0" fillId="0" borderId="2" xfId="0" applyBorder="1" applyAlignment="1"/>
    <xf numFmtId="0" fontId="0" fillId="0" borderId="1" xfId="0" applyBorder="1"/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EH158"/>
  <sheetViews>
    <sheetView tabSelected="1" zoomScale="70" zoomScaleNormal="70" workbookViewId="0">
      <selection activeCell="H3" sqref="H3:AJ33"/>
    </sheetView>
  </sheetViews>
  <sheetFormatPr defaultRowHeight="15"/>
  <cols>
    <col min="2" max="2" width="19.7109375" customWidth="1"/>
    <col min="5" max="5" width="7.5703125" customWidth="1"/>
    <col min="6" max="6" width="11.5703125" customWidth="1"/>
  </cols>
  <sheetData>
    <row r="1" spans="1:39">
      <c r="A1" s="22" t="s">
        <v>0</v>
      </c>
      <c r="B1" s="22"/>
      <c r="E1" s="1" t="s">
        <v>1</v>
      </c>
      <c r="F1" s="1"/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2"/>
      <c r="AM1" s="3"/>
    </row>
    <row r="2" spans="1:39">
      <c r="A2" s="22"/>
      <c r="B2" s="22"/>
      <c r="E2" s="16"/>
      <c r="F2" s="16" t="s">
        <v>2</v>
      </c>
      <c r="G2" s="1">
        <v>0</v>
      </c>
      <c r="H2" s="4">
        <f>$B$5*(H1-1)</f>
        <v>3.3333333333333335E-3</v>
      </c>
      <c r="I2" s="4">
        <f t="shared" ref="I2:AK2" si="0">$B$5*(I1-1)</f>
        <v>6.6666666666666671E-3</v>
      </c>
      <c r="J2" s="4">
        <f t="shared" si="0"/>
        <v>0.01</v>
      </c>
      <c r="K2" s="4">
        <f t="shared" si="0"/>
        <v>1.3333333333333334E-2</v>
      </c>
      <c r="L2" s="4">
        <f t="shared" si="0"/>
        <v>1.6666666666666666E-2</v>
      </c>
      <c r="M2" s="4">
        <f t="shared" si="0"/>
        <v>0.02</v>
      </c>
      <c r="N2" s="4">
        <f t="shared" si="0"/>
        <v>2.3333333333333334E-2</v>
      </c>
      <c r="O2" s="4">
        <f t="shared" si="0"/>
        <v>2.6666666666666668E-2</v>
      </c>
      <c r="P2" s="4">
        <f t="shared" si="0"/>
        <v>3.0000000000000002E-2</v>
      </c>
      <c r="Q2" s="4">
        <f t="shared" si="0"/>
        <v>3.3333333333333333E-2</v>
      </c>
      <c r="R2" s="4">
        <f t="shared" si="0"/>
        <v>3.6666666666666667E-2</v>
      </c>
      <c r="S2" s="4">
        <f t="shared" si="0"/>
        <v>0.04</v>
      </c>
      <c r="T2" s="4">
        <f t="shared" si="0"/>
        <v>4.3333333333333335E-2</v>
      </c>
      <c r="U2" s="4">
        <f t="shared" si="0"/>
        <v>4.6666666666666669E-2</v>
      </c>
      <c r="V2" s="4">
        <f t="shared" si="0"/>
        <v>0.05</v>
      </c>
      <c r="W2" s="4">
        <f t="shared" si="0"/>
        <v>5.3333333333333337E-2</v>
      </c>
      <c r="X2" s="4">
        <f t="shared" si="0"/>
        <v>5.6666666666666671E-2</v>
      </c>
      <c r="Y2" s="4">
        <f t="shared" si="0"/>
        <v>6.0000000000000005E-2</v>
      </c>
      <c r="Z2" s="4">
        <f t="shared" si="0"/>
        <v>6.3333333333333339E-2</v>
      </c>
      <c r="AA2" s="4">
        <f t="shared" si="0"/>
        <v>6.6666666666666666E-2</v>
      </c>
      <c r="AB2" s="4">
        <f t="shared" si="0"/>
        <v>7.0000000000000007E-2</v>
      </c>
      <c r="AC2" s="4">
        <f t="shared" si="0"/>
        <v>7.3333333333333334E-2</v>
      </c>
      <c r="AD2" s="4">
        <f t="shared" si="0"/>
        <v>7.6666666666666675E-2</v>
      </c>
      <c r="AE2" s="4">
        <f t="shared" si="0"/>
        <v>0.08</v>
      </c>
      <c r="AF2" s="4">
        <f t="shared" si="0"/>
        <v>8.3333333333333343E-2</v>
      </c>
      <c r="AG2" s="4">
        <f t="shared" si="0"/>
        <v>8.666666666666667E-2</v>
      </c>
      <c r="AH2" s="4">
        <f t="shared" si="0"/>
        <v>9.0000000000000011E-2</v>
      </c>
      <c r="AI2" s="4">
        <f t="shared" si="0"/>
        <v>9.3333333333333338E-2</v>
      </c>
      <c r="AJ2" s="4">
        <f t="shared" si="0"/>
        <v>9.6666666666666679E-2</v>
      </c>
      <c r="AK2" s="4">
        <f t="shared" si="0"/>
        <v>0.1</v>
      </c>
      <c r="AL2" s="2"/>
      <c r="AM2" s="5"/>
    </row>
    <row r="3" spans="1:39">
      <c r="A3" s="17" t="s">
        <v>3</v>
      </c>
      <c r="B3" s="17">
        <v>0.1</v>
      </c>
      <c r="E3" s="1">
        <v>31</v>
      </c>
      <c r="F3" s="4">
        <f t="shared" ref="F3:F31" si="1">$B$6*(E3-1)</f>
        <v>0.1</v>
      </c>
      <c r="G3" s="6">
        <f>$B$16</f>
        <v>300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f>$B$17</f>
        <v>100</v>
      </c>
      <c r="AL3" s="4">
        <f>$B$6*(AM3-1)</f>
        <v>0.1</v>
      </c>
      <c r="AM3" s="1">
        <v>31</v>
      </c>
    </row>
    <row r="4" spans="1:39">
      <c r="A4" s="17" t="s">
        <v>4</v>
      </c>
      <c r="B4" s="17">
        <v>0.1</v>
      </c>
      <c r="E4" s="1">
        <v>30</v>
      </c>
      <c r="F4" s="4">
        <f t="shared" si="1"/>
        <v>9.6666666666666679E-2</v>
      </c>
      <c r="G4" s="6">
        <f t="shared" ref="G4:G33" si="2">$B$16</f>
        <v>300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f t="shared" ref="AK4:AK33" si="3">$B$17</f>
        <v>100</v>
      </c>
      <c r="AL4" s="4">
        <f t="shared" ref="AL4:AL33" si="4">$B$6*(AM4-1)</f>
        <v>9.6666666666666679E-2</v>
      </c>
      <c r="AM4" s="1">
        <v>30</v>
      </c>
    </row>
    <row r="5" spans="1:39">
      <c r="A5" s="17" t="s">
        <v>5</v>
      </c>
      <c r="B5" s="17">
        <f>B3/30</f>
        <v>3.3333333333333335E-3</v>
      </c>
      <c r="C5" s="20"/>
      <c r="D5" s="21"/>
      <c r="E5" s="1">
        <v>29</v>
      </c>
      <c r="F5" s="4">
        <f t="shared" si="1"/>
        <v>9.3333333333333338E-2</v>
      </c>
      <c r="G5" s="6">
        <f t="shared" si="2"/>
        <v>300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f t="shared" si="3"/>
        <v>100</v>
      </c>
      <c r="AL5" s="4">
        <f t="shared" si="4"/>
        <v>9.3333333333333338E-2</v>
      </c>
      <c r="AM5" s="1">
        <v>29</v>
      </c>
    </row>
    <row r="6" spans="1:39">
      <c r="A6" s="17" t="s">
        <v>6</v>
      </c>
      <c r="B6" s="17">
        <f>B4/30</f>
        <v>3.3333333333333335E-3</v>
      </c>
      <c r="C6" s="20"/>
      <c r="D6" s="21"/>
      <c r="E6" s="1">
        <v>28</v>
      </c>
      <c r="F6" s="4">
        <f t="shared" si="1"/>
        <v>9.0000000000000011E-2</v>
      </c>
      <c r="G6" s="6">
        <f t="shared" si="2"/>
        <v>300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f t="shared" si="3"/>
        <v>100</v>
      </c>
      <c r="AL6" s="4">
        <f t="shared" si="4"/>
        <v>9.0000000000000011E-2</v>
      </c>
      <c r="AM6" s="1">
        <v>28</v>
      </c>
    </row>
    <row r="7" spans="1:39">
      <c r="A7" s="17" t="s">
        <v>7</v>
      </c>
      <c r="B7" s="17">
        <v>60</v>
      </c>
      <c r="C7">
        <v>62</v>
      </c>
      <c r="E7" s="1">
        <v>27</v>
      </c>
      <c r="F7" s="4">
        <f t="shared" si="1"/>
        <v>8.666666666666667E-2</v>
      </c>
      <c r="G7" s="6">
        <f t="shared" si="2"/>
        <v>300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f t="shared" si="3"/>
        <v>100</v>
      </c>
      <c r="AL7" s="4">
        <f t="shared" si="4"/>
        <v>8.666666666666667E-2</v>
      </c>
      <c r="AM7" s="1">
        <v>27</v>
      </c>
    </row>
    <row r="8" spans="1:39">
      <c r="A8" s="17" t="s">
        <v>8</v>
      </c>
      <c r="B8" s="17">
        <v>2</v>
      </c>
      <c r="E8" s="1">
        <v>26</v>
      </c>
      <c r="F8" s="4">
        <f t="shared" si="1"/>
        <v>8.3333333333333343E-2</v>
      </c>
      <c r="G8" s="6">
        <f t="shared" si="2"/>
        <v>300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f t="shared" si="3"/>
        <v>100</v>
      </c>
      <c r="AL8" s="4">
        <f t="shared" si="4"/>
        <v>8.3333333333333343E-2</v>
      </c>
      <c r="AM8" s="1">
        <v>26</v>
      </c>
    </row>
    <row r="9" spans="1:39">
      <c r="E9" s="1">
        <v>25</v>
      </c>
      <c r="F9" s="4">
        <f t="shared" si="1"/>
        <v>0.08</v>
      </c>
      <c r="G9" s="6">
        <f t="shared" si="2"/>
        <v>300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f t="shared" si="3"/>
        <v>100</v>
      </c>
      <c r="AL9" s="4">
        <f t="shared" si="4"/>
        <v>0.08</v>
      </c>
      <c r="AM9" s="1">
        <v>25</v>
      </c>
    </row>
    <row r="10" spans="1:39">
      <c r="A10" s="22" t="s">
        <v>9</v>
      </c>
      <c r="B10" s="22"/>
      <c r="E10" s="1">
        <v>24</v>
      </c>
      <c r="F10" s="4">
        <f t="shared" si="1"/>
        <v>7.6666666666666675E-2</v>
      </c>
      <c r="G10" s="6">
        <f t="shared" si="2"/>
        <v>300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f t="shared" si="3"/>
        <v>100</v>
      </c>
      <c r="AL10" s="4">
        <f t="shared" si="4"/>
        <v>7.6666666666666675E-2</v>
      </c>
      <c r="AM10" s="1">
        <v>24</v>
      </c>
    </row>
    <row r="11" spans="1:39">
      <c r="A11" s="17" t="s">
        <v>10</v>
      </c>
      <c r="B11" s="17">
        <v>460</v>
      </c>
      <c r="E11" s="1">
        <v>23</v>
      </c>
      <c r="F11" s="4">
        <f t="shared" si="1"/>
        <v>7.3333333333333334E-2</v>
      </c>
      <c r="G11" s="6">
        <f t="shared" si="2"/>
        <v>300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f t="shared" si="3"/>
        <v>100</v>
      </c>
      <c r="AL11" s="4">
        <f t="shared" si="4"/>
        <v>7.3333333333333334E-2</v>
      </c>
      <c r="AM11" s="1">
        <v>23</v>
      </c>
    </row>
    <row r="12" spans="1:39">
      <c r="A12" s="17" t="s">
        <v>11</v>
      </c>
      <c r="B12" s="17">
        <v>7800</v>
      </c>
      <c r="E12" s="1">
        <v>22</v>
      </c>
      <c r="F12" s="4">
        <f t="shared" si="1"/>
        <v>7.0000000000000007E-2</v>
      </c>
      <c r="G12" s="6">
        <f t="shared" si="2"/>
        <v>300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f t="shared" si="3"/>
        <v>100</v>
      </c>
      <c r="AL12" s="4">
        <f t="shared" si="4"/>
        <v>7.0000000000000007E-2</v>
      </c>
      <c r="AM12" s="1">
        <v>22</v>
      </c>
    </row>
    <row r="13" spans="1:39">
      <c r="A13" s="18" t="s">
        <v>29</v>
      </c>
      <c r="B13" s="17">
        <v>46</v>
      </c>
      <c r="E13" s="1">
        <v>21</v>
      </c>
      <c r="F13" s="4">
        <f t="shared" si="1"/>
        <v>6.6666666666666666E-2</v>
      </c>
      <c r="G13" s="6">
        <v>300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f t="shared" si="3"/>
        <v>100</v>
      </c>
      <c r="AL13" s="4">
        <f t="shared" si="4"/>
        <v>6.6666666666666666E-2</v>
      </c>
      <c r="AM13" s="1">
        <v>21</v>
      </c>
    </row>
    <row r="14" spans="1:39">
      <c r="A14" s="7"/>
      <c r="B14" s="7"/>
      <c r="E14" s="1">
        <v>20</v>
      </c>
      <c r="F14" s="4">
        <f t="shared" si="1"/>
        <v>6.3333333333333339E-2</v>
      </c>
      <c r="G14" s="6">
        <f t="shared" si="2"/>
        <v>300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f t="shared" si="3"/>
        <v>100</v>
      </c>
      <c r="AL14" s="4">
        <f t="shared" si="4"/>
        <v>6.3333333333333339E-2</v>
      </c>
      <c r="AM14" s="1">
        <v>20</v>
      </c>
    </row>
    <row r="15" spans="1:39">
      <c r="A15" s="22" t="s">
        <v>22</v>
      </c>
      <c r="B15" s="22"/>
      <c r="E15" s="1">
        <v>19</v>
      </c>
      <c r="F15" s="4">
        <f t="shared" si="1"/>
        <v>6.0000000000000005E-2</v>
      </c>
      <c r="G15" s="6">
        <f t="shared" si="2"/>
        <v>300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f t="shared" si="3"/>
        <v>100</v>
      </c>
      <c r="AL15" s="4">
        <f t="shared" si="4"/>
        <v>6.0000000000000005E-2</v>
      </c>
      <c r="AM15" s="1">
        <v>19</v>
      </c>
    </row>
    <row r="16" spans="1:39">
      <c r="A16" s="17" t="s">
        <v>12</v>
      </c>
      <c r="B16" s="17">
        <v>300</v>
      </c>
      <c r="E16" s="1">
        <v>18</v>
      </c>
      <c r="F16" s="4">
        <f t="shared" si="1"/>
        <v>5.6666666666666671E-2</v>
      </c>
      <c r="G16" s="6">
        <f t="shared" si="2"/>
        <v>300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f t="shared" si="3"/>
        <v>100</v>
      </c>
      <c r="AL16" s="4">
        <f t="shared" si="4"/>
        <v>5.6666666666666671E-2</v>
      </c>
      <c r="AM16" s="1">
        <v>18</v>
      </c>
    </row>
    <row r="17" spans="1:39">
      <c r="A17" s="17" t="s">
        <v>13</v>
      </c>
      <c r="B17" s="17">
        <v>100</v>
      </c>
      <c r="E17" s="1">
        <v>17</v>
      </c>
      <c r="F17" s="4">
        <f t="shared" si="1"/>
        <v>5.3333333333333337E-2</v>
      </c>
      <c r="G17" s="6">
        <f t="shared" si="2"/>
        <v>300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f t="shared" si="3"/>
        <v>100</v>
      </c>
      <c r="AL17" s="4">
        <f t="shared" si="4"/>
        <v>5.3333333333333337E-2</v>
      </c>
      <c r="AM17" s="1">
        <v>17</v>
      </c>
    </row>
    <row r="18" spans="1:39">
      <c r="A18" s="7"/>
      <c r="B18" s="7"/>
      <c r="E18" s="1">
        <v>16</v>
      </c>
      <c r="F18" s="4">
        <f t="shared" si="1"/>
        <v>0.05</v>
      </c>
      <c r="G18" s="6">
        <f t="shared" si="2"/>
        <v>300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f t="shared" si="3"/>
        <v>100</v>
      </c>
      <c r="AL18" s="4">
        <f t="shared" si="4"/>
        <v>0.05</v>
      </c>
      <c r="AM18" s="1">
        <v>16</v>
      </c>
    </row>
    <row r="19" spans="1:39">
      <c r="A19" s="23"/>
      <c r="B19" s="23"/>
      <c r="E19" s="1">
        <v>15</v>
      </c>
      <c r="F19" s="4">
        <f t="shared" si="1"/>
        <v>4.6666666666666669E-2</v>
      </c>
      <c r="G19" s="6">
        <f t="shared" si="2"/>
        <v>300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f t="shared" si="3"/>
        <v>100</v>
      </c>
      <c r="AL19" s="4">
        <f t="shared" si="4"/>
        <v>4.6666666666666669E-2</v>
      </c>
      <c r="AM19" s="1">
        <v>15</v>
      </c>
    </row>
    <row r="20" spans="1:39">
      <c r="A20" s="17" t="s">
        <v>23</v>
      </c>
      <c r="B20" s="17">
        <f>B13/(B5^2)</f>
        <v>4139999.9999999991</v>
      </c>
      <c r="E20" s="1">
        <v>14</v>
      </c>
      <c r="F20" s="4">
        <f t="shared" si="1"/>
        <v>4.3333333333333335E-2</v>
      </c>
      <c r="G20" s="6">
        <f t="shared" si="2"/>
        <v>300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f t="shared" si="3"/>
        <v>100</v>
      </c>
      <c r="AL20" s="4">
        <f t="shared" si="4"/>
        <v>4.3333333333333335E-2</v>
      </c>
      <c r="AM20" s="1">
        <v>14</v>
      </c>
    </row>
    <row r="21" spans="1:39">
      <c r="A21" s="17" t="s">
        <v>24</v>
      </c>
      <c r="B21" s="17">
        <f>(2*B13)/(B5^2)+(B12*B11)/B8</f>
        <v>10073999.999999998</v>
      </c>
      <c r="E21" s="1">
        <v>13</v>
      </c>
      <c r="F21" s="4">
        <f t="shared" si="1"/>
        <v>0.04</v>
      </c>
      <c r="G21" s="6">
        <f t="shared" si="2"/>
        <v>300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f t="shared" si="3"/>
        <v>100</v>
      </c>
      <c r="AL21" s="4">
        <f t="shared" si="4"/>
        <v>0.04</v>
      </c>
      <c r="AM21" s="1">
        <v>13</v>
      </c>
    </row>
    <row r="22" spans="1:39">
      <c r="A22" s="17" t="s">
        <v>25</v>
      </c>
      <c r="B22" s="17">
        <f>B20</f>
        <v>4139999.9999999991</v>
      </c>
      <c r="C22" s="10"/>
      <c r="D22" s="19"/>
      <c r="E22" s="1">
        <v>12</v>
      </c>
      <c r="F22" s="4">
        <f t="shared" si="1"/>
        <v>3.6666666666666667E-2</v>
      </c>
      <c r="G22" s="6">
        <f t="shared" si="2"/>
        <v>300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f t="shared" si="3"/>
        <v>100</v>
      </c>
      <c r="AL22" s="4">
        <f t="shared" si="4"/>
        <v>3.6666666666666667E-2</v>
      </c>
      <c r="AM22" s="1">
        <v>12</v>
      </c>
    </row>
    <row r="23" spans="1:39">
      <c r="A23" s="7"/>
      <c r="B23" s="7"/>
      <c r="E23" s="1">
        <v>11</v>
      </c>
      <c r="F23" s="4">
        <f t="shared" si="1"/>
        <v>3.3333333333333333E-2</v>
      </c>
      <c r="G23" s="6">
        <f t="shared" si="2"/>
        <v>300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f t="shared" si="3"/>
        <v>100</v>
      </c>
      <c r="AL23" s="4">
        <f t="shared" si="4"/>
        <v>3.3333333333333333E-2</v>
      </c>
      <c r="AM23" s="1">
        <v>11</v>
      </c>
    </row>
    <row r="24" spans="1:39">
      <c r="A24" s="23"/>
      <c r="B24" s="23"/>
      <c r="E24" s="1">
        <v>10</v>
      </c>
      <c r="F24" s="4">
        <f t="shared" si="1"/>
        <v>3.0000000000000002E-2</v>
      </c>
      <c r="G24" s="6">
        <f t="shared" si="2"/>
        <v>300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f t="shared" si="3"/>
        <v>100</v>
      </c>
      <c r="AL24" s="4">
        <f t="shared" si="4"/>
        <v>3.0000000000000002E-2</v>
      </c>
      <c r="AM24" s="1">
        <v>10</v>
      </c>
    </row>
    <row r="25" spans="1:39">
      <c r="A25" s="17" t="s">
        <v>26</v>
      </c>
      <c r="B25" s="17">
        <f>B13/(B6^2)</f>
        <v>4139999.9999999991</v>
      </c>
      <c r="E25" s="1">
        <v>9</v>
      </c>
      <c r="F25" s="4">
        <f t="shared" si="1"/>
        <v>2.6666666666666668E-2</v>
      </c>
      <c r="G25" s="6">
        <f t="shared" si="2"/>
        <v>300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f t="shared" si="3"/>
        <v>100</v>
      </c>
      <c r="AL25" s="4">
        <f t="shared" si="4"/>
        <v>2.6666666666666668E-2</v>
      </c>
      <c r="AM25" s="1">
        <v>9</v>
      </c>
    </row>
    <row r="26" spans="1:39">
      <c r="A26" s="17" t="s">
        <v>27</v>
      </c>
      <c r="B26" s="17">
        <f>(2*B13)/(B6^2)+(B12*B11)/B8</f>
        <v>10073999.999999998</v>
      </c>
      <c r="E26" s="1">
        <v>8</v>
      </c>
      <c r="F26" s="4">
        <f t="shared" si="1"/>
        <v>2.3333333333333334E-2</v>
      </c>
      <c r="G26" s="6">
        <f t="shared" si="2"/>
        <v>300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f t="shared" si="3"/>
        <v>100</v>
      </c>
      <c r="AL26" s="4">
        <f t="shared" si="4"/>
        <v>2.3333333333333334E-2</v>
      </c>
      <c r="AM26" s="1">
        <v>8</v>
      </c>
    </row>
    <row r="27" spans="1:39">
      <c r="A27" s="17" t="s">
        <v>28</v>
      </c>
      <c r="B27" s="17">
        <f>B25</f>
        <v>4139999.9999999991</v>
      </c>
      <c r="E27" s="1">
        <v>7</v>
      </c>
      <c r="F27" s="4">
        <f t="shared" si="1"/>
        <v>0.02</v>
      </c>
      <c r="G27" s="6">
        <f t="shared" si="2"/>
        <v>300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f t="shared" si="3"/>
        <v>100</v>
      </c>
      <c r="AL27" s="4">
        <f t="shared" si="4"/>
        <v>0.02</v>
      </c>
      <c r="AM27" s="1">
        <v>7</v>
      </c>
    </row>
    <row r="28" spans="1:39">
      <c r="A28" s="17"/>
      <c r="B28" s="17"/>
      <c r="E28" s="1">
        <v>6</v>
      </c>
      <c r="F28" s="4">
        <f t="shared" si="1"/>
        <v>1.6666666666666666E-2</v>
      </c>
      <c r="G28" s="6">
        <f t="shared" si="2"/>
        <v>300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f t="shared" si="3"/>
        <v>100</v>
      </c>
      <c r="AL28" s="4">
        <f t="shared" si="4"/>
        <v>1.6666666666666666E-2</v>
      </c>
      <c r="AM28" s="1">
        <v>6</v>
      </c>
    </row>
    <row r="29" spans="1:39">
      <c r="E29" s="1">
        <v>5</v>
      </c>
      <c r="F29" s="4">
        <f t="shared" si="1"/>
        <v>1.3333333333333334E-2</v>
      </c>
      <c r="G29" s="6">
        <f t="shared" si="2"/>
        <v>300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f t="shared" si="3"/>
        <v>100</v>
      </c>
      <c r="AL29" s="4">
        <f t="shared" si="4"/>
        <v>1.3333333333333334E-2</v>
      </c>
      <c r="AM29" s="1">
        <v>5</v>
      </c>
    </row>
    <row r="30" spans="1:39">
      <c r="E30" s="1">
        <v>4</v>
      </c>
      <c r="F30" s="4">
        <f t="shared" si="1"/>
        <v>0.01</v>
      </c>
      <c r="G30" s="6">
        <f t="shared" si="2"/>
        <v>300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f t="shared" si="3"/>
        <v>100</v>
      </c>
      <c r="AL30" s="4">
        <f t="shared" si="4"/>
        <v>0.01</v>
      </c>
      <c r="AM30" s="1">
        <v>4</v>
      </c>
    </row>
    <row r="31" spans="1:39">
      <c r="E31" s="1">
        <v>3</v>
      </c>
      <c r="F31" s="4">
        <f t="shared" si="1"/>
        <v>6.6666666666666671E-3</v>
      </c>
      <c r="G31" s="6">
        <f t="shared" si="2"/>
        <v>300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f t="shared" si="3"/>
        <v>100</v>
      </c>
      <c r="AL31" s="4">
        <f t="shared" si="4"/>
        <v>6.6666666666666671E-3</v>
      </c>
      <c r="AM31" s="1">
        <v>3</v>
      </c>
    </row>
    <row r="32" spans="1:39">
      <c r="E32" s="1">
        <v>2</v>
      </c>
      <c r="F32" s="4">
        <f>$B$6*(E32-1)</f>
        <v>3.3333333333333335E-3</v>
      </c>
      <c r="G32" s="6">
        <f t="shared" si="2"/>
        <v>300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f t="shared" si="3"/>
        <v>100</v>
      </c>
      <c r="AL32" s="4">
        <f t="shared" si="4"/>
        <v>3.3333333333333335E-3</v>
      </c>
      <c r="AM32" s="1">
        <v>2</v>
      </c>
    </row>
    <row r="33" spans="5:138">
      <c r="E33" s="1">
        <v>1</v>
      </c>
      <c r="F33" s="4">
        <v>0</v>
      </c>
      <c r="G33" s="6">
        <f t="shared" si="2"/>
        <v>300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f t="shared" si="3"/>
        <v>100</v>
      </c>
      <c r="AL33" s="4">
        <f t="shared" si="4"/>
        <v>0</v>
      </c>
      <c r="AM33" s="1">
        <v>1</v>
      </c>
    </row>
    <row r="34" spans="5:138">
      <c r="E34" s="8"/>
      <c r="F34" s="9"/>
      <c r="G34" s="1">
        <v>0</v>
      </c>
      <c r="H34" s="4">
        <f>$B$5*(H35-1)</f>
        <v>3.3333333333333335E-3</v>
      </c>
      <c r="I34" s="4">
        <f t="shared" ref="I34:AK34" si="5">$B$5*(I35-1)</f>
        <v>6.6666666666666671E-3</v>
      </c>
      <c r="J34" s="4">
        <f t="shared" si="5"/>
        <v>0.01</v>
      </c>
      <c r="K34" s="4">
        <f t="shared" si="5"/>
        <v>1.3333333333333334E-2</v>
      </c>
      <c r="L34" s="4">
        <f t="shared" si="5"/>
        <v>1.6666666666666666E-2</v>
      </c>
      <c r="M34" s="4">
        <f t="shared" si="5"/>
        <v>0.02</v>
      </c>
      <c r="N34" s="4">
        <f t="shared" si="5"/>
        <v>2.3333333333333334E-2</v>
      </c>
      <c r="O34" s="4">
        <f t="shared" si="5"/>
        <v>2.6666666666666668E-2</v>
      </c>
      <c r="P34" s="4">
        <f t="shared" si="5"/>
        <v>3.0000000000000002E-2</v>
      </c>
      <c r="Q34" s="4">
        <f t="shared" si="5"/>
        <v>3.3333333333333333E-2</v>
      </c>
      <c r="R34" s="4">
        <f t="shared" si="5"/>
        <v>3.6666666666666667E-2</v>
      </c>
      <c r="S34" s="4">
        <f t="shared" si="5"/>
        <v>0.04</v>
      </c>
      <c r="T34" s="4">
        <f t="shared" si="5"/>
        <v>4.3333333333333335E-2</v>
      </c>
      <c r="U34" s="4">
        <f t="shared" si="5"/>
        <v>4.6666666666666669E-2</v>
      </c>
      <c r="V34" s="4">
        <f t="shared" si="5"/>
        <v>0.05</v>
      </c>
      <c r="W34" s="4">
        <f t="shared" si="5"/>
        <v>5.3333333333333337E-2</v>
      </c>
      <c r="X34" s="4">
        <f t="shared" si="5"/>
        <v>5.6666666666666671E-2</v>
      </c>
      <c r="Y34" s="4">
        <f t="shared" si="5"/>
        <v>6.0000000000000005E-2</v>
      </c>
      <c r="Z34" s="4">
        <f t="shared" si="5"/>
        <v>6.3333333333333339E-2</v>
      </c>
      <c r="AA34" s="4">
        <f t="shared" si="5"/>
        <v>6.6666666666666666E-2</v>
      </c>
      <c r="AB34" s="4">
        <f t="shared" si="5"/>
        <v>7.0000000000000007E-2</v>
      </c>
      <c r="AC34" s="4">
        <f t="shared" si="5"/>
        <v>7.3333333333333334E-2</v>
      </c>
      <c r="AD34" s="4">
        <f t="shared" si="5"/>
        <v>7.6666666666666675E-2</v>
      </c>
      <c r="AE34" s="4">
        <f t="shared" si="5"/>
        <v>0.08</v>
      </c>
      <c r="AF34" s="4">
        <f t="shared" si="5"/>
        <v>8.3333333333333343E-2</v>
      </c>
      <c r="AG34" s="4">
        <f t="shared" si="5"/>
        <v>8.666666666666667E-2</v>
      </c>
      <c r="AH34" s="4">
        <f t="shared" si="5"/>
        <v>9.0000000000000011E-2</v>
      </c>
      <c r="AI34" s="4">
        <f t="shared" si="5"/>
        <v>9.3333333333333338E-2</v>
      </c>
      <c r="AJ34" s="4">
        <f t="shared" si="5"/>
        <v>9.6666666666666679E-2</v>
      </c>
      <c r="AK34" s="4">
        <f t="shared" si="5"/>
        <v>0.1</v>
      </c>
      <c r="AL34" s="2"/>
      <c r="AM34" s="9"/>
      <c r="AN34" s="10"/>
    </row>
    <row r="35" spans="5:138">
      <c r="E35" s="11"/>
      <c r="F35" s="12"/>
      <c r="G35" s="1">
        <v>1</v>
      </c>
      <c r="H35" s="1">
        <v>2</v>
      </c>
      <c r="I35" s="1">
        <v>3</v>
      </c>
      <c r="J35" s="1">
        <v>4</v>
      </c>
      <c r="K35" s="1">
        <v>5</v>
      </c>
      <c r="L35" s="1">
        <v>6</v>
      </c>
      <c r="M35" s="1">
        <v>7</v>
      </c>
      <c r="N35" s="1">
        <v>8</v>
      </c>
      <c r="O35" s="1">
        <v>9</v>
      </c>
      <c r="P35" s="1">
        <v>10</v>
      </c>
      <c r="Q35" s="1">
        <v>11</v>
      </c>
      <c r="R35" s="1">
        <v>12</v>
      </c>
      <c r="S35" s="1">
        <v>13</v>
      </c>
      <c r="T35" s="1">
        <v>14</v>
      </c>
      <c r="U35" s="1">
        <v>15</v>
      </c>
      <c r="V35" s="1">
        <v>16</v>
      </c>
      <c r="W35" s="1">
        <v>17</v>
      </c>
      <c r="X35" s="1">
        <v>18</v>
      </c>
      <c r="Y35" s="1">
        <v>19</v>
      </c>
      <c r="Z35" s="1">
        <v>20</v>
      </c>
      <c r="AA35" s="1">
        <v>21</v>
      </c>
      <c r="AB35" s="1">
        <v>22</v>
      </c>
      <c r="AC35" s="1">
        <v>23</v>
      </c>
      <c r="AD35" s="1">
        <v>24</v>
      </c>
      <c r="AE35" s="1">
        <v>25</v>
      </c>
      <c r="AF35" s="1">
        <v>26</v>
      </c>
      <c r="AG35" s="1">
        <v>27</v>
      </c>
      <c r="AH35" s="1">
        <v>28</v>
      </c>
      <c r="AI35" s="1">
        <v>29</v>
      </c>
      <c r="AJ35" s="1">
        <v>30</v>
      </c>
      <c r="AK35" s="1">
        <v>31</v>
      </c>
      <c r="AL35" s="13"/>
      <c r="AM35" s="12"/>
      <c r="AN35" s="10"/>
    </row>
    <row r="36" spans="5:138"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0"/>
      <c r="AM36" s="14"/>
    </row>
    <row r="37" spans="5:138">
      <c r="AL37" s="10"/>
      <c r="AM37" s="14"/>
    </row>
    <row r="38" spans="5:138">
      <c r="E38" s="25" t="s">
        <v>14</v>
      </c>
      <c r="F38" s="1" t="s">
        <v>2</v>
      </c>
      <c r="G38" s="1">
        <v>0</v>
      </c>
      <c r="H38" s="4">
        <v>3.3333333333333335E-3</v>
      </c>
      <c r="I38" s="4">
        <v>6.6666666666666671E-3</v>
      </c>
      <c r="J38" s="4">
        <v>0.01</v>
      </c>
      <c r="K38" s="4">
        <v>1.3333333333333334E-2</v>
      </c>
      <c r="L38" s="4">
        <v>1.6666666666666666E-2</v>
      </c>
      <c r="M38" s="4">
        <v>0.02</v>
      </c>
      <c r="N38" s="4">
        <v>2.3333333333333334E-2</v>
      </c>
      <c r="O38" s="4">
        <v>2.6666666666666668E-2</v>
      </c>
      <c r="P38" s="4">
        <v>3.0000000000000002E-2</v>
      </c>
      <c r="Q38" s="4">
        <v>3.3333333333333333E-2</v>
      </c>
      <c r="R38" s="4">
        <v>3.6666666666666667E-2</v>
      </c>
      <c r="S38" s="4">
        <v>0.04</v>
      </c>
      <c r="T38" s="4">
        <v>4.3333333333333335E-2</v>
      </c>
      <c r="U38" s="4">
        <v>4.6666666666666669E-2</v>
      </c>
      <c r="V38" s="4">
        <v>0.05</v>
      </c>
      <c r="W38" s="4">
        <v>5.3333333333333337E-2</v>
      </c>
      <c r="X38" s="4">
        <v>5.6666666666666671E-2</v>
      </c>
      <c r="Y38" s="4">
        <v>6.0000000000000005E-2</v>
      </c>
      <c r="Z38" s="4">
        <v>6.3333333333333339E-2</v>
      </c>
      <c r="AA38" s="4">
        <v>6.6666666666666666E-2</v>
      </c>
      <c r="AB38" s="4">
        <v>7.0000000000000007E-2</v>
      </c>
      <c r="AC38" s="4">
        <v>7.3333333333333334E-2</v>
      </c>
      <c r="AD38" s="4">
        <v>7.6666666666666675E-2</v>
      </c>
      <c r="AE38" s="4">
        <v>0.08</v>
      </c>
      <c r="AF38" s="4">
        <v>8.3333333333333343E-2</v>
      </c>
      <c r="AG38" s="4">
        <v>8.666666666666667E-2</v>
      </c>
      <c r="AH38" s="4">
        <v>9.0000000000000011E-2</v>
      </c>
      <c r="AI38" s="4">
        <v>9.3333333333333338E-2</v>
      </c>
      <c r="AJ38" s="4">
        <v>9.6666666666666679E-2</v>
      </c>
      <c r="AK38" s="4">
        <v>0.1</v>
      </c>
      <c r="AL38" s="24" t="s">
        <v>15</v>
      </c>
      <c r="AM38" s="1" t="s">
        <v>2</v>
      </c>
      <c r="AN38" s="1">
        <v>0</v>
      </c>
      <c r="AO38" s="4">
        <v>3.3333333333333335E-3</v>
      </c>
      <c r="AP38" s="4">
        <v>6.6666666666666671E-3</v>
      </c>
      <c r="AQ38" s="4">
        <v>0.01</v>
      </c>
      <c r="AR38" s="4">
        <v>1.3333333333333334E-2</v>
      </c>
      <c r="AS38" s="4">
        <v>1.6666666666666666E-2</v>
      </c>
      <c r="AT38" s="4">
        <v>0.02</v>
      </c>
      <c r="AU38" s="4">
        <v>2.3333333333333334E-2</v>
      </c>
      <c r="AV38" s="4">
        <v>2.6666666666666668E-2</v>
      </c>
      <c r="AW38" s="4">
        <v>3.0000000000000002E-2</v>
      </c>
      <c r="AX38" s="4">
        <v>3.3333333333333333E-2</v>
      </c>
      <c r="AY38" s="4">
        <v>3.6666666666666667E-2</v>
      </c>
      <c r="AZ38" s="4">
        <v>0.04</v>
      </c>
      <c r="BA38" s="4">
        <v>4.3333333333333335E-2</v>
      </c>
      <c r="BB38" s="4">
        <v>4.6666666666666669E-2</v>
      </c>
      <c r="BC38" s="4">
        <v>0.05</v>
      </c>
      <c r="BD38" s="4">
        <v>5.3333333333333337E-2</v>
      </c>
      <c r="BE38" s="4">
        <v>5.6666666666666671E-2</v>
      </c>
      <c r="BF38" s="4">
        <v>6.0000000000000005E-2</v>
      </c>
      <c r="BG38" s="4">
        <v>6.3333333333333339E-2</v>
      </c>
      <c r="BH38" s="4">
        <v>6.6666666666666666E-2</v>
      </c>
      <c r="BI38" s="4">
        <v>7.0000000000000007E-2</v>
      </c>
      <c r="BJ38" s="4">
        <v>7.3333333333333334E-2</v>
      </c>
      <c r="BK38" s="4">
        <v>7.6666666666666675E-2</v>
      </c>
      <c r="BL38" s="4">
        <v>0.08</v>
      </c>
      <c r="BM38" s="4">
        <v>8.3333333333333343E-2</v>
      </c>
      <c r="BN38" s="4">
        <v>8.666666666666667E-2</v>
      </c>
      <c r="BO38" s="4">
        <v>9.0000000000000011E-2</v>
      </c>
      <c r="BP38" s="4">
        <v>9.3333333333333338E-2</v>
      </c>
      <c r="BQ38" s="4">
        <v>9.6666666666666679E-2</v>
      </c>
      <c r="BR38" s="4">
        <v>0.1</v>
      </c>
      <c r="BT38" s="24" t="s">
        <v>16</v>
      </c>
      <c r="BU38" s="1" t="s">
        <v>2</v>
      </c>
      <c r="BV38" s="1">
        <v>0</v>
      </c>
      <c r="BW38" s="4">
        <v>3.3333333333333335E-3</v>
      </c>
      <c r="BX38" s="4">
        <v>6.6666666666666671E-3</v>
      </c>
      <c r="BY38" s="4">
        <v>0.01</v>
      </c>
      <c r="BZ38" s="4">
        <v>1.3333333333333334E-2</v>
      </c>
      <c r="CA38" s="4">
        <v>1.6666666666666666E-2</v>
      </c>
      <c r="CB38" s="4">
        <v>0.02</v>
      </c>
      <c r="CC38" s="4">
        <v>2.3333333333333334E-2</v>
      </c>
      <c r="CD38" s="4">
        <v>2.6666666666666668E-2</v>
      </c>
      <c r="CE38" s="4">
        <v>3.0000000000000002E-2</v>
      </c>
      <c r="CF38" s="4">
        <v>3.3333333333333333E-2</v>
      </c>
      <c r="CG38" s="4">
        <v>3.6666666666666667E-2</v>
      </c>
      <c r="CH38" s="4">
        <v>0.04</v>
      </c>
      <c r="CI38" s="4">
        <v>4.3333333333333335E-2</v>
      </c>
      <c r="CJ38" s="4">
        <v>4.6666666666666669E-2</v>
      </c>
      <c r="CK38" s="4">
        <v>0.05</v>
      </c>
      <c r="CL38" s="4">
        <v>5.3333333333333337E-2</v>
      </c>
      <c r="CM38" s="4">
        <v>5.6666666666666671E-2</v>
      </c>
      <c r="CN38" s="4">
        <v>6.0000000000000005E-2</v>
      </c>
      <c r="CO38" s="4">
        <v>6.3333333333333339E-2</v>
      </c>
      <c r="CP38" s="4">
        <v>6.6666666666666666E-2</v>
      </c>
      <c r="CQ38" s="4">
        <v>7.0000000000000007E-2</v>
      </c>
      <c r="CR38" s="4">
        <v>7.3333333333333334E-2</v>
      </c>
      <c r="CS38" s="4">
        <v>7.6666666666666675E-2</v>
      </c>
      <c r="CT38" s="4">
        <v>0.08</v>
      </c>
      <c r="CU38" s="4">
        <v>8.3333333333333343E-2</v>
      </c>
      <c r="CV38" s="4">
        <v>8.666666666666667E-2</v>
      </c>
      <c r="CW38" s="4">
        <v>9.0000000000000011E-2</v>
      </c>
      <c r="CX38" s="4">
        <v>9.3333333333333338E-2</v>
      </c>
      <c r="CY38" s="4">
        <v>9.6666666666666679E-2</v>
      </c>
      <c r="CZ38" s="4">
        <v>0.1</v>
      </c>
      <c r="DB38" s="24" t="s">
        <v>17</v>
      </c>
      <c r="DC38" s="1" t="s">
        <v>2</v>
      </c>
      <c r="DD38" s="1">
        <v>0</v>
      </c>
      <c r="DE38" s="4">
        <v>3.3333333333333335E-3</v>
      </c>
      <c r="DF38" s="4">
        <v>6.6666666666666671E-3</v>
      </c>
      <c r="DG38" s="4">
        <v>0.01</v>
      </c>
      <c r="DH38" s="4">
        <v>1.3333333333333334E-2</v>
      </c>
      <c r="DI38" s="4">
        <v>1.6666666666666666E-2</v>
      </c>
      <c r="DJ38" s="4">
        <v>0.02</v>
      </c>
      <c r="DK38" s="4">
        <v>2.3333333333333334E-2</v>
      </c>
      <c r="DL38" s="4">
        <v>2.6666666666666668E-2</v>
      </c>
      <c r="DM38" s="4">
        <v>3.0000000000000002E-2</v>
      </c>
      <c r="DN38" s="4">
        <v>3.3333333333333333E-2</v>
      </c>
      <c r="DO38" s="4">
        <v>3.6666666666666667E-2</v>
      </c>
      <c r="DP38" s="4">
        <v>0.04</v>
      </c>
      <c r="DQ38" s="4">
        <v>4.3333333333333335E-2</v>
      </c>
      <c r="DR38" s="4">
        <v>4.6666666666666669E-2</v>
      </c>
      <c r="DS38" s="4">
        <v>0.05</v>
      </c>
      <c r="DT38" s="4">
        <v>5.3333333333333337E-2</v>
      </c>
      <c r="DU38" s="4">
        <v>5.6666666666666671E-2</v>
      </c>
      <c r="DV38" s="4">
        <v>6.0000000000000005E-2</v>
      </c>
      <c r="DW38" s="4">
        <v>6.3333333333333339E-2</v>
      </c>
      <c r="DX38" s="4">
        <v>6.6666666666666666E-2</v>
      </c>
      <c r="DY38" s="4">
        <v>7.0000000000000007E-2</v>
      </c>
      <c r="DZ38" s="4">
        <v>7.3333333333333334E-2</v>
      </c>
      <c r="EA38" s="4">
        <v>7.6666666666666675E-2</v>
      </c>
      <c r="EB38" s="4">
        <v>0.08</v>
      </c>
      <c r="EC38" s="4">
        <v>8.3333333333333343E-2</v>
      </c>
      <c r="ED38" s="4">
        <v>8.666666666666667E-2</v>
      </c>
      <c r="EE38" s="4">
        <v>9.0000000000000011E-2</v>
      </c>
      <c r="EF38" s="4">
        <v>9.3333333333333338E-2</v>
      </c>
      <c r="EG38" s="4">
        <v>9.6666666666666679E-2</v>
      </c>
      <c r="EH38" s="4">
        <v>0.1</v>
      </c>
    </row>
    <row r="39" spans="5:138">
      <c r="E39" s="26"/>
      <c r="F39" s="4">
        <v>0.1</v>
      </c>
      <c r="G39">
        <f>$B$16</f>
        <v>300</v>
      </c>
      <c r="H39">
        <f>BW39*I39+DE39</f>
        <v>157.09377165338856</v>
      </c>
      <c r="I39">
        <f t="shared" ref="I39:AI48" si="6">BX39*J39+DF39</f>
        <v>82.261511023245447</v>
      </c>
      <c r="J39">
        <f t="shared" si="6"/>
        <v>43.075905169842066</v>
      </c>
      <c r="K39">
        <f t="shared" si="6"/>
        <v>22.556524890036922</v>
      </c>
      <c r="L39">
        <f t="shared" si="6"/>
        <v>11.811638729247784</v>
      </c>
      <c r="M39">
        <f t="shared" si="6"/>
        <v>6.1851293511326899</v>
      </c>
      <c r="N39">
        <f t="shared" si="6"/>
        <v>3.2388426918417639</v>
      </c>
      <c r="O39">
        <f t="shared" si="6"/>
        <v>1.6960545323489358</v>
      </c>
      <c r="P39">
        <f t="shared" si="6"/>
        <v>0.8882233368739797</v>
      </c>
      <c r="Q39">
        <f t="shared" si="6"/>
        <v>0.46528892071108163</v>
      </c>
      <c r="R39">
        <f t="shared" si="6"/>
        <v>0.24397970352298565</v>
      </c>
      <c r="S39">
        <f t="shared" si="6"/>
        <v>0.12839502452818344</v>
      </c>
      <c r="T39">
        <f t="shared" si="6"/>
        <v>6.8448189495594031E-2</v>
      </c>
      <c r="U39">
        <f t="shared" si="6"/>
        <v>3.8162236577762049E-2</v>
      </c>
      <c r="V39">
        <f t="shared" si="6"/>
        <v>2.4413252843626963E-2</v>
      </c>
      <c r="W39">
        <f t="shared" si="6"/>
        <v>2.1243345341730224E-2</v>
      </c>
      <c r="X39">
        <f t="shared" si="6"/>
        <v>2.7278887487916587E-2</v>
      </c>
      <c r="Y39">
        <f t="shared" si="6"/>
        <v>4.5135280878866799E-2</v>
      </c>
      <c r="Z39">
        <f t="shared" si="6"/>
        <v>8.2550295983992647E-2</v>
      </c>
      <c r="AA39">
        <f t="shared" si="6"/>
        <v>0.1557371060155153</v>
      </c>
      <c r="AB39">
        <f t="shared" si="6"/>
        <v>0.29640999532042794</v>
      </c>
      <c r="AC39">
        <f t="shared" si="6"/>
        <v>0.56552721593085942</v>
      </c>
      <c r="AD39">
        <f t="shared" si="6"/>
        <v>1.0797062301113298</v>
      </c>
      <c r="AE39">
        <f t="shared" si="6"/>
        <v>2.0617579440067098</v>
      </c>
      <c r="AF39">
        <f t="shared" si="6"/>
        <v>3.937238100304997</v>
      </c>
      <c r="AG39">
        <f t="shared" si="6"/>
        <v>7.5188547667354504</v>
      </c>
      <c r="AH39">
        <f t="shared" si="6"/>
        <v>14.358641832084601</v>
      </c>
      <c r="AI39">
        <f t="shared" si="6"/>
        <v>27.420507024670414</v>
      </c>
      <c r="AJ39">
        <f>CY39*AK39+EG39</f>
        <v>52.364591927946741</v>
      </c>
      <c r="AK39">
        <f>$B$17</f>
        <v>100</v>
      </c>
      <c r="AL39" s="24"/>
      <c r="AM39" s="4">
        <v>0.1</v>
      </c>
      <c r="AN39" s="15">
        <f>-($B$12*$B$11)/$B$8*G3</f>
        <v>-538200000</v>
      </c>
      <c r="AO39" s="15">
        <f t="shared" ref="AO39:BR47" si="7">-($B$12*$B$11)/$B$8*H3</f>
        <v>0</v>
      </c>
      <c r="AP39" s="15">
        <f t="shared" si="7"/>
        <v>0</v>
      </c>
      <c r="AQ39" s="15">
        <f t="shared" si="7"/>
        <v>0</v>
      </c>
      <c r="AR39" s="15">
        <f t="shared" si="7"/>
        <v>0</v>
      </c>
      <c r="AS39" s="15">
        <f t="shared" si="7"/>
        <v>0</v>
      </c>
      <c r="AT39" s="15">
        <f t="shared" si="7"/>
        <v>0</v>
      </c>
      <c r="AU39" s="15">
        <f t="shared" si="7"/>
        <v>0</v>
      </c>
      <c r="AV39" s="15">
        <f t="shared" si="7"/>
        <v>0</v>
      </c>
      <c r="AW39" s="15">
        <f t="shared" si="7"/>
        <v>0</v>
      </c>
      <c r="AX39" s="15">
        <f t="shared" si="7"/>
        <v>0</v>
      </c>
      <c r="AY39" s="15">
        <f t="shared" si="7"/>
        <v>0</v>
      </c>
      <c r="AZ39" s="15">
        <f t="shared" si="7"/>
        <v>0</v>
      </c>
      <c r="BA39" s="15">
        <f t="shared" si="7"/>
        <v>0</v>
      </c>
      <c r="BB39" s="15">
        <f t="shared" si="7"/>
        <v>0</v>
      </c>
      <c r="BC39" s="15">
        <f t="shared" si="7"/>
        <v>0</v>
      </c>
      <c r="BD39" s="15">
        <f t="shared" si="7"/>
        <v>0</v>
      </c>
      <c r="BE39" s="15">
        <f t="shared" si="7"/>
        <v>0</v>
      </c>
      <c r="BF39" s="15">
        <f t="shared" si="7"/>
        <v>0</v>
      </c>
      <c r="BG39" s="15">
        <f t="shared" si="7"/>
        <v>0</v>
      </c>
      <c r="BH39" s="15">
        <f t="shared" si="7"/>
        <v>0</v>
      </c>
      <c r="BI39" s="15">
        <f t="shared" si="7"/>
        <v>0</v>
      </c>
      <c r="BJ39" s="15">
        <f t="shared" si="7"/>
        <v>0</v>
      </c>
      <c r="BK39" s="15">
        <f t="shared" si="7"/>
        <v>0</v>
      </c>
      <c r="BL39" s="15">
        <f t="shared" si="7"/>
        <v>0</v>
      </c>
      <c r="BM39" s="15">
        <f t="shared" si="7"/>
        <v>0</v>
      </c>
      <c r="BN39" s="15">
        <f t="shared" si="7"/>
        <v>0</v>
      </c>
      <c r="BO39" s="15">
        <f t="shared" si="7"/>
        <v>0</v>
      </c>
      <c r="BP39" s="15">
        <f t="shared" si="7"/>
        <v>0</v>
      </c>
      <c r="BQ39" s="15">
        <f t="shared" si="7"/>
        <v>0</v>
      </c>
      <c r="BR39" s="15">
        <f t="shared" si="7"/>
        <v>-179400000</v>
      </c>
      <c r="BT39" s="24"/>
      <c r="BU39" s="4">
        <v>0.1</v>
      </c>
      <c r="BV39" s="6">
        <v>0</v>
      </c>
      <c r="BW39" s="6">
        <f>$B$20/($B$21-$B$22*BV39)</f>
        <v>0.41095890410958902</v>
      </c>
      <c r="BX39" s="6">
        <f t="shared" ref="BX39:CY39" si="8">$B$20/($B$21-$B$22*BW39)</f>
        <v>0.49446827726349057</v>
      </c>
      <c r="BY39" s="6">
        <f t="shared" si="8"/>
        <v>0.51576565211146774</v>
      </c>
      <c r="BZ39" s="6">
        <f t="shared" si="8"/>
        <v>0.52149397895713612</v>
      </c>
      <c r="CA39" s="6">
        <f t="shared" si="8"/>
        <v>0.52305649933975962</v>
      </c>
      <c r="CB39" s="6">
        <f t="shared" si="8"/>
        <v>0.52348433598989241</v>
      </c>
      <c r="CC39" s="6">
        <f t="shared" si="8"/>
        <v>0.52360160483419294</v>
      </c>
      <c r="CD39" s="6">
        <f t="shared" si="8"/>
        <v>0.52363375707534621</v>
      </c>
      <c r="CE39" s="6">
        <f t="shared" si="8"/>
        <v>0.52364257312109652</v>
      </c>
      <c r="CF39" s="6">
        <f t="shared" si="8"/>
        <v>0.5236449905056163</v>
      </c>
      <c r="CG39" s="6">
        <f t="shared" si="8"/>
        <v>0.52364565336314417</v>
      </c>
      <c r="CH39" s="6">
        <f t="shared" si="8"/>
        <v>0.52364583512190344</v>
      </c>
      <c r="CI39" s="6">
        <f t="shared" si="8"/>
        <v>0.52364588496106157</v>
      </c>
      <c r="CJ39" s="6">
        <f t="shared" si="8"/>
        <v>0.52364589862720901</v>
      </c>
      <c r="CK39" s="6">
        <f t="shared" si="8"/>
        <v>0.52364590237453534</v>
      </c>
      <c r="CL39" s="6">
        <f t="shared" si="8"/>
        <v>0.52364590340207107</v>
      </c>
      <c r="CM39" s="6">
        <f t="shared" si="8"/>
        <v>0.52364590368382657</v>
      </c>
      <c r="CN39" s="6">
        <f t="shared" si="8"/>
        <v>0.52364590376108522</v>
      </c>
      <c r="CO39" s="6">
        <f t="shared" si="8"/>
        <v>0.52364590378227005</v>
      </c>
      <c r="CP39" s="6">
        <f t="shared" si="8"/>
        <v>0.52364590378807896</v>
      </c>
      <c r="CQ39" s="6">
        <f t="shared" si="8"/>
        <v>0.5236459037896718</v>
      </c>
      <c r="CR39" s="6">
        <f t="shared" si="8"/>
        <v>0.52364590379010867</v>
      </c>
      <c r="CS39" s="6">
        <f t="shared" si="8"/>
        <v>0.52364590379022846</v>
      </c>
      <c r="CT39" s="6">
        <f t="shared" si="8"/>
        <v>0.52364590379026121</v>
      </c>
      <c r="CU39" s="6">
        <f t="shared" si="8"/>
        <v>0.52364590379027021</v>
      </c>
      <c r="CV39" s="6">
        <f t="shared" si="8"/>
        <v>0.52364590379027265</v>
      </c>
      <c r="CW39" s="6">
        <f t="shared" si="8"/>
        <v>0.52364590379027331</v>
      </c>
      <c r="CX39" s="6">
        <f t="shared" si="8"/>
        <v>0.52364590379027354</v>
      </c>
      <c r="CY39" s="6">
        <f t="shared" si="8"/>
        <v>0.52364590379027354</v>
      </c>
      <c r="CZ39" s="6">
        <f>$B$17</f>
        <v>100</v>
      </c>
      <c r="DB39" s="24"/>
      <c r="DC39" s="4">
        <v>0.1</v>
      </c>
      <c r="DD39" s="6">
        <f>G3</f>
        <v>300</v>
      </c>
      <c r="DE39" s="6">
        <f>(DD39*$B$22-AO39)/($B$21-$B$22*BV39)</f>
        <v>123.28767123287672</v>
      </c>
      <c r="DF39" s="6">
        <f t="shared" ref="DF39:EH47" si="9">(DE39*$B$22-AP39)/($B$21-$B$22*BW39)</f>
        <v>60.961842402348154</v>
      </c>
      <c r="DG39" s="6">
        <f t="shared" si="9"/>
        <v>31.442024400563621</v>
      </c>
      <c r="DH39" s="6">
        <f t="shared" si="9"/>
        <v>16.396826411117285</v>
      </c>
      <c r="DI39" s="6">
        <f t="shared" si="9"/>
        <v>8.5764666228807211</v>
      </c>
      <c r="DJ39" s="6">
        <f t="shared" si="9"/>
        <v>4.4896459352181886</v>
      </c>
      <c r="DK39" s="6">
        <f t="shared" si="9"/>
        <v>2.3507858168175546</v>
      </c>
      <c r="DL39" s="6">
        <f t="shared" si="9"/>
        <v>1.2309508093396129</v>
      </c>
      <c r="DM39" s="6">
        <f t="shared" si="9"/>
        <v>0.64457824918809103</v>
      </c>
      <c r="DN39" s="6">
        <f t="shared" si="9"/>
        <v>0.33753017117622475</v>
      </c>
      <c r="DO39" s="6">
        <f t="shared" si="9"/>
        <v>0.17674620701534813</v>
      </c>
      <c r="DP39" s="6">
        <f t="shared" si="9"/>
        <v>9.2552415177180797E-2</v>
      </c>
      <c r="DQ39" s="6">
        <f t="shared" si="9"/>
        <v>4.8464691350738429E-2</v>
      </c>
      <c r="DR39" s="6">
        <f t="shared" si="9"/>
        <v>2.5378336854047744E-2</v>
      </c>
      <c r="DS39" s="6">
        <f t="shared" si="9"/>
        <v>1.3289262102702756E-2</v>
      </c>
      <c r="DT39" s="6">
        <f t="shared" si="9"/>
        <v>6.9588676593166912E-3</v>
      </c>
      <c r="DU39" s="6">
        <f t="shared" si="9"/>
        <v>3.6439825440790436E-3</v>
      </c>
      <c r="DV39" s="6">
        <f t="shared" si="9"/>
        <v>1.9081565325838894E-3</v>
      </c>
      <c r="DW39" s="6">
        <f t="shared" si="9"/>
        <v>9.9919835206293325E-4</v>
      </c>
      <c r="DX39" s="6">
        <f t="shared" si="9"/>
        <v>5.2322612412955387E-4</v>
      </c>
      <c r="DY39" s="6">
        <f t="shared" si="9"/>
        <v>2.7398521665618727E-4</v>
      </c>
      <c r="DZ39" s="6">
        <f t="shared" si="9"/>
        <v>1.434712364010579E-4</v>
      </c>
      <c r="EA39" s="6">
        <f t="shared" si="9"/>
        <v>7.5128125253133484E-5</v>
      </c>
      <c r="EB39" s="6">
        <f t="shared" si="9"/>
        <v>3.9340535048245028E-5</v>
      </c>
      <c r="EC39" s="6">
        <f t="shared" si="9"/>
        <v>2.0600510030931069E-5</v>
      </c>
      <c r="ED39" s="6">
        <f t="shared" si="9"/>
        <v>1.0787372693687478E-5</v>
      </c>
      <c r="EE39" s="6">
        <f t="shared" si="9"/>
        <v>5.6487635237084939E-6</v>
      </c>
      <c r="EF39" s="6">
        <f t="shared" si="9"/>
        <v>2.9579518806698644E-6</v>
      </c>
      <c r="EG39" s="6">
        <f t="shared" si="9"/>
        <v>1.5489193859215107E-6</v>
      </c>
      <c r="EH39" s="6">
        <f t="shared" si="9"/>
        <v>22.691323308663819</v>
      </c>
    </row>
    <row r="40" spans="5:138">
      <c r="E40" s="26"/>
      <c r="F40" s="4">
        <v>9.6666666666666679E-2</v>
      </c>
      <c r="G40">
        <f t="shared" ref="G40:G69" si="10">$B$16</f>
        <v>300</v>
      </c>
      <c r="H40">
        <f t="shared" ref="H40:W64" si="11">BW40*I40+DE40</f>
        <v>157.09377165338856</v>
      </c>
      <c r="I40">
        <f t="shared" si="6"/>
        <v>82.261511023245447</v>
      </c>
      <c r="J40">
        <f t="shared" si="6"/>
        <v>43.075905169842066</v>
      </c>
      <c r="K40">
        <f t="shared" si="6"/>
        <v>22.556524890036922</v>
      </c>
      <c r="L40">
        <f t="shared" si="6"/>
        <v>11.811638729247784</v>
      </c>
      <c r="M40">
        <f t="shared" si="6"/>
        <v>6.1851293511326899</v>
      </c>
      <c r="N40">
        <f t="shared" si="6"/>
        <v>3.2388426918417639</v>
      </c>
      <c r="O40">
        <f t="shared" si="6"/>
        <v>1.6960545323489358</v>
      </c>
      <c r="P40">
        <f t="shared" si="6"/>
        <v>0.8882233368739797</v>
      </c>
      <c r="Q40">
        <f t="shared" si="6"/>
        <v>0.46528892071108163</v>
      </c>
      <c r="R40">
        <f t="shared" si="6"/>
        <v>0.24397970352298565</v>
      </c>
      <c r="S40">
        <f t="shared" si="6"/>
        <v>0.12839502452818344</v>
      </c>
      <c r="T40">
        <f t="shared" si="6"/>
        <v>6.8448189495594031E-2</v>
      </c>
      <c r="U40">
        <f t="shared" si="6"/>
        <v>3.8162236577762049E-2</v>
      </c>
      <c r="V40">
        <f t="shared" si="6"/>
        <v>2.4413252843626963E-2</v>
      </c>
      <c r="W40">
        <f t="shared" si="6"/>
        <v>2.1243345341730224E-2</v>
      </c>
      <c r="X40">
        <f t="shared" si="6"/>
        <v>2.7278887487916587E-2</v>
      </c>
      <c r="Y40">
        <f t="shared" si="6"/>
        <v>4.5135280878866799E-2</v>
      </c>
      <c r="Z40">
        <f t="shared" si="6"/>
        <v>8.2550295983992647E-2</v>
      </c>
      <c r="AA40">
        <f t="shared" si="6"/>
        <v>0.1557371060155153</v>
      </c>
      <c r="AB40">
        <f t="shared" si="6"/>
        <v>0.29640999532042794</v>
      </c>
      <c r="AC40">
        <f t="shared" si="6"/>
        <v>0.56552721593085942</v>
      </c>
      <c r="AD40">
        <f t="shared" si="6"/>
        <v>1.0797062301113298</v>
      </c>
      <c r="AE40">
        <f t="shared" si="6"/>
        <v>2.0617579440067098</v>
      </c>
      <c r="AF40">
        <f t="shared" si="6"/>
        <v>3.937238100304997</v>
      </c>
      <c r="AG40">
        <f t="shared" si="6"/>
        <v>7.5188547667354504</v>
      </c>
      <c r="AH40">
        <f t="shared" si="6"/>
        <v>14.358641832084601</v>
      </c>
      <c r="AI40">
        <f t="shared" si="6"/>
        <v>27.420507024670414</v>
      </c>
      <c r="AJ40">
        <f t="shared" ref="AI40:AJ55" si="12">CY40*AK40+EG40</f>
        <v>52.364591927946741</v>
      </c>
      <c r="AK40">
        <f t="shared" ref="AK40:AK69" si="13">$B$17</f>
        <v>100</v>
      </c>
      <c r="AL40" s="24"/>
      <c r="AM40" s="4">
        <v>9.6666666666666679E-2</v>
      </c>
      <c r="AN40" s="15">
        <f t="shared" ref="AN40:BC62" si="14">-($B$12*$B$11)/$B$8*G4</f>
        <v>-538200000</v>
      </c>
      <c r="AO40" s="15">
        <f>-($B$12*$B$11)/$B$8*H4</f>
        <v>0</v>
      </c>
      <c r="AP40" s="15">
        <f t="shared" si="7"/>
        <v>0</v>
      </c>
      <c r="AQ40" s="15">
        <f t="shared" si="7"/>
        <v>0</v>
      </c>
      <c r="AR40" s="15">
        <f t="shared" si="7"/>
        <v>0</v>
      </c>
      <c r="AS40" s="15">
        <f t="shared" si="7"/>
        <v>0</v>
      </c>
      <c r="AT40" s="15">
        <f t="shared" si="7"/>
        <v>0</v>
      </c>
      <c r="AU40" s="15">
        <f t="shared" si="7"/>
        <v>0</v>
      </c>
      <c r="AV40" s="15">
        <f t="shared" si="7"/>
        <v>0</v>
      </c>
      <c r="AW40" s="15">
        <f t="shared" si="7"/>
        <v>0</v>
      </c>
      <c r="AX40" s="15">
        <f t="shared" si="7"/>
        <v>0</v>
      </c>
      <c r="AY40" s="15">
        <f t="shared" si="7"/>
        <v>0</v>
      </c>
      <c r="AZ40" s="15">
        <f t="shared" si="7"/>
        <v>0</v>
      </c>
      <c r="BA40" s="15">
        <f t="shared" si="7"/>
        <v>0</v>
      </c>
      <c r="BB40" s="15">
        <f t="shared" si="7"/>
        <v>0</v>
      </c>
      <c r="BC40" s="15">
        <f t="shared" si="7"/>
        <v>0</v>
      </c>
      <c r="BD40" s="15">
        <f t="shared" si="7"/>
        <v>0</v>
      </c>
      <c r="BE40" s="15">
        <f t="shared" si="7"/>
        <v>0</v>
      </c>
      <c r="BF40" s="15">
        <f t="shared" si="7"/>
        <v>0</v>
      </c>
      <c r="BG40" s="15">
        <f t="shared" si="7"/>
        <v>0</v>
      </c>
      <c r="BH40" s="15">
        <f t="shared" si="7"/>
        <v>0</v>
      </c>
      <c r="BI40" s="15">
        <f t="shared" si="7"/>
        <v>0</v>
      </c>
      <c r="BJ40" s="15">
        <f t="shared" si="7"/>
        <v>0</v>
      </c>
      <c r="BK40" s="15">
        <f t="shared" si="7"/>
        <v>0</v>
      </c>
      <c r="BL40" s="15">
        <f t="shared" si="7"/>
        <v>0</v>
      </c>
      <c r="BM40" s="15">
        <f t="shared" si="7"/>
        <v>0</v>
      </c>
      <c r="BN40" s="15">
        <f t="shared" si="7"/>
        <v>0</v>
      </c>
      <c r="BO40" s="15">
        <f t="shared" si="7"/>
        <v>0</v>
      </c>
      <c r="BP40" s="15">
        <f t="shared" si="7"/>
        <v>0</v>
      </c>
      <c r="BQ40" s="15">
        <f t="shared" si="7"/>
        <v>0</v>
      </c>
      <c r="BR40" s="15">
        <f t="shared" si="7"/>
        <v>-179400000</v>
      </c>
      <c r="BT40" s="24"/>
      <c r="BU40" s="4">
        <v>9.6666666666666679E-2</v>
      </c>
      <c r="BV40" s="6">
        <v>0</v>
      </c>
      <c r="BW40" s="6">
        <f t="shared" ref="BW40:CY48" si="15">$B$20/($B$21-$B$22*BV40)</f>
        <v>0.41095890410958902</v>
      </c>
      <c r="BX40" s="6">
        <f t="shared" si="15"/>
        <v>0.49446827726349057</v>
      </c>
      <c r="BY40" s="6">
        <f t="shared" si="15"/>
        <v>0.51576565211146774</v>
      </c>
      <c r="BZ40" s="6">
        <f t="shared" si="15"/>
        <v>0.52149397895713612</v>
      </c>
      <c r="CA40" s="6">
        <f t="shared" si="15"/>
        <v>0.52305649933975962</v>
      </c>
      <c r="CB40" s="6">
        <f t="shared" si="15"/>
        <v>0.52348433598989241</v>
      </c>
      <c r="CC40" s="6">
        <f t="shared" si="15"/>
        <v>0.52360160483419294</v>
      </c>
      <c r="CD40" s="6">
        <f t="shared" si="15"/>
        <v>0.52363375707534621</v>
      </c>
      <c r="CE40" s="6">
        <f t="shared" si="15"/>
        <v>0.52364257312109652</v>
      </c>
      <c r="CF40" s="6">
        <f t="shared" si="15"/>
        <v>0.5236449905056163</v>
      </c>
      <c r="CG40" s="6">
        <f t="shared" si="15"/>
        <v>0.52364565336314417</v>
      </c>
      <c r="CH40" s="6">
        <f t="shared" si="15"/>
        <v>0.52364583512190344</v>
      </c>
      <c r="CI40" s="6">
        <f t="shared" si="15"/>
        <v>0.52364588496106157</v>
      </c>
      <c r="CJ40" s="6">
        <f t="shared" si="15"/>
        <v>0.52364589862720901</v>
      </c>
      <c r="CK40" s="6">
        <f t="shared" si="15"/>
        <v>0.52364590237453534</v>
      </c>
      <c r="CL40" s="6">
        <f t="shared" si="15"/>
        <v>0.52364590340207107</v>
      </c>
      <c r="CM40" s="6">
        <f t="shared" si="15"/>
        <v>0.52364590368382657</v>
      </c>
      <c r="CN40" s="6">
        <f t="shared" si="15"/>
        <v>0.52364590376108522</v>
      </c>
      <c r="CO40" s="6">
        <f t="shared" si="15"/>
        <v>0.52364590378227005</v>
      </c>
      <c r="CP40" s="6">
        <f t="shared" si="15"/>
        <v>0.52364590378807896</v>
      </c>
      <c r="CQ40" s="6">
        <f t="shared" si="15"/>
        <v>0.5236459037896718</v>
      </c>
      <c r="CR40" s="6">
        <f t="shared" si="15"/>
        <v>0.52364590379010867</v>
      </c>
      <c r="CS40" s="6">
        <f t="shared" si="15"/>
        <v>0.52364590379022846</v>
      </c>
      <c r="CT40" s="6">
        <f t="shared" si="15"/>
        <v>0.52364590379026121</v>
      </c>
      <c r="CU40" s="6">
        <f t="shared" si="15"/>
        <v>0.52364590379027021</v>
      </c>
      <c r="CV40" s="6">
        <f t="shared" si="15"/>
        <v>0.52364590379027265</v>
      </c>
      <c r="CW40" s="6">
        <f t="shared" si="15"/>
        <v>0.52364590379027331</v>
      </c>
      <c r="CX40" s="6">
        <f t="shared" si="15"/>
        <v>0.52364590379027354</v>
      </c>
      <c r="CY40" s="6">
        <f t="shared" si="15"/>
        <v>0.52364590379027354</v>
      </c>
      <c r="CZ40" s="6">
        <f t="shared" ref="CZ40:CZ69" si="16">$B$17</f>
        <v>100</v>
      </c>
      <c r="DB40" s="24"/>
      <c r="DC40" s="4">
        <v>9.6666666666666679E-2</v>
      </c>
      <c r="DD40" s="6">
        <f t="shared" ref="DD40:DD69" si="17">G4</f>
        <v>300</v>
      </c>
      <c r="DE40" s="6">
        <f t="shared" ref="DE40:DT63" si="18">(DD40*$B$22-AO40)/($B$21-$B$22*BV40)</f>
        <v>123.28767123287672</v>
      </c>
      <c r="DF40" s="6">
        <f t="shared" si="9"/>
        <v>60.961842402348154</v>
      </c>
      <c r="DG40" s="6">
        <f t="shared" si="9"/>
        <v>31.442024400563621</v>
      </c>
      <c r="DH40" s="6">
        <f t="shared" si="9"/>
        <v>16.396826411117285</v>
      </c>
      <c r="DI40" s="6">
        <f t="shared" si="9"/>
        <v>8.5764666228807211</v>
      </c>
      <c r="DJ40" s="6">
        <f t="shared" si="9"/>
        <v>4.4896459352181886</v>
      </c>
      <c r="DK40" s="6">
        <f t="shared" si="9"/>
        <v>2.3507858168175546</v>
      </c>
      <c r="DL40" s="6">
        <f t="shared" si="9"/>
        <v>1.2309508093396129</v>
      </c>
      <c r="DM40" s="6">
        <f t="shared" si="9"/>
        <v>0.64457824918809103</v>
      </c>
      <c r="DN40" s="6">
        <f t="shared" si="9"/>
        <v>0.33753017117622475</v>
      </c>
      <c r="DO40" s="6">
        <f t="shared" si="9"/>
        <v>0.17674620701534813</v>
      </c>
      <c r="DP40" s="6">
        <f t="shared" si="9"/>
        <v>9.2552415177180797E-2</v>
      </c>
      <c r="DQ40" s="6">
        <f t="shared" si="9"/>
        <v>4.8464691350738429E-2</v>
      </c>
      <c r="DR40" s="6">
        <f t="shared" si="9"/>
        <v>2.5378336854047744E-2</v>
      </c>
      <c r="DS40" s="6">
        <f t="shared" si="9"/>
        <v>1.3289262102702756E-2</v>
      </c>
      <c r="DT40" s="6">
        <f t="shared" si="9"/>
        <v>6.9588676593166912E-3</v>
      </c>
      <c r="DU40" s="6">
        <f t="shared" si="9"/>
        <v>3.6439825440790436E-3</v>
      </c>
      <c r="DV40" s="6">
        <f t="shared" si="9"/>
        <v>1.9081565325838894E-3</v>
      </c>
      <c r="DW40" s="6">
        <f t="shared" si="9"/>
        <v>9.9919835206293325E-4</v>
      </c>
      <c r="DX40" s="6">
        <f t="shared" si="9"/>
        <v>5.2322612412955387E-4</v>
      </c>
      <c r="DY40" s="6">
        <f t="shared" si="9"/>
        <v>2.7398521665618727E-4</v>
      </c>
      <c r="DZ40" s="6">
        <f t="shared" si="9"/>
        <v>1.434712364010579E-4</v>
      </c>
      <c r="EA40" s="6">
        <f t="shared" si="9"/>
        <v>7.5128125253133484E-5</v>
      </c>
      <c r="EB40" s="6">
        <f t="shared" si="9"/>
        <v>3.9340535048245028E-5</v>
      </c>
      <c r="EC40" s="6">
        <f t="shared" si="9"/>
        <v>2.0600510030931069E-5</v>
      </c>
      <c r="ED40" s="6">
        <f t="shared" si="9"/>
        <v>1.0787372693687478E-5</v>
      </c>
      <c r="EE40" s="6">
        <f t="shared" si="9"/>
        <v>5.6487635237084939E-6</v>
      </c>
      <c r="EF40" s="6">
        <f t="shared" si="9"/>
        <v>2.9579518806698644E-6</v>
      </c>
      <c r="EG40" s="6">
        <f t="shared" si="9"/>
        <v>1.5489193859215107E-6</v>
      </c>
      <c r="EH40" s="6">
        <f t="shared" si="9"/>
        <v>22.691323308663819</v>
      </c>
    </row>
    <row r="41" spans="5:138">
      <c r="E41" s="26"/>
      <c r="F41" s="4">
        <v>9.3333333333333338E-2</v>
      </c>
      <c r="G41">
        <f t="shared" si="10"/>
        <v>300</v>
      </c>
      <c r="H41">
        <f t="shared" si="11"/>
        <v>157.09377165338856</v>
      </c>
      <c r="I41">
        <f t="shared" si="6"/>
        <v>82.261511023245447</v>
      </c>
      <c r="J41">
        <f t="shared" si="6"/>
        <v>43.075905169842066</v>
      </c>
      <c r="K41">
        <f t="shared" si="6"/>
        <v>22.556524890036922</v>
      </c>
      <c r="L41">
        <f t="shared" si="6"/>
        <v>11.811638729247784</v>
      </c>
      <c r="M41">
        <f t="shared" si="6"/>
        <v>6.1851293511326899</v>
      </c>
      <c r="N41">
        <f t="shared" si="6"/>
        <v>3.2388426918417639</v>
      </c>
      <c r="O41">
        <f t="shared" si="6"/>
        <v>1.6960545323489358</v>
      </c>
      <c r="P41">
        <f t="shared" si="6"/>
        <v>0.8882233368739797</v>
      </c>
      <c r="Q41">
        <f t="shared" si="6"/>
        <v>0.46528892071108163</v>
      </c>
      <c r="R41">
        <f t="shared" si="6"/>
        <v>0.24397970352298565</v>
      </c>
      <c r="S41">
        <f t="shared" si="6"/>
        <v>0.12839502452818344</v>
      </c>
      <c r="T41">
        <f t="shared" si="6"/>
        <v>6.8448189495594031E-2</v>
      </c>
      <c r="U41">
        <f t="shared" si="6"/>
        <v>3.8162236577762049E-2</v>
      </c>
      <c r="V41">
        <f t="shared" si="6"/>
        <v>2.4413252843626963E-2</v>
      </c>
      <c r="W41">
        <f t="shared" si="6"/>
        <v>2.1243345341730224E-2</v>
      </c>
      <c r="X41">
        <f t="shared" si="6"/>
        <v>2.7278887487916587E-2</v>
      </c>
      <c r="Y41">
        <f t="shared" si="6"/>
        <v>4.5135280878866799E-2</v>
      </c>
      <c r="Z41">
        <f t="shared" si="6"/>
        <v>8.2550295983992647E-2</v>
      </c>
      <c r="AA41">
        <f t="shared" si="6"/>
        <v>0.1557371060155153</v>
      </c>
      <c r="AB41">
        <f t="shared" si="6"/>
        <v>0.29640999532042794</v>
      </c>
      <c r="AC41">
        <f t="shared" si="6"/>
        <v>0.56552721593085942</v>
      </c>
      <c r="AD41">
        <f t="shared" si="6"/>
        <v>1.0797062301113298</v>
      </c>
      <c r="AE41">
        <f t="shared" si="6"/>
        <v>2.0617579440067098</v>
      </c>
      <c r="AF41">
        <f t="shared" si="6"/>
        <v>3.937238100304997</v>
      </c>
      <c r="AG41">
        <f t="shared" si="6"/>
        <v>7.5188547667354504</v>
      </c>
      <c r="AH41">
        <f t="shared" si="6"/>
        <v>14.358641832084601</v>
      </c>
      <c r="AI41">
        <f t="shared" si="12"/>
        <v>27.420507024670414</v>
      </c>
      <c r="AJ41">
        <f t="shared" si="12"/>
        <v>52.364591927946741</v>
      </c>
      <c r="AK41">
        <f t="shared" si="13"/>
        <v>100</v>
      </c>
      <c r="AL41" s="24"/>
      <c r="AM41" s="4">
        <v>9.3333333333333338E-2</v>
      </c>
      <c r="AN41" s="15">
        <f t="shared" si="14"/>
        <v>-538200000</v>
      </c>
      <c r="AO41" s="15">
        <f t="shared" si="14"/>
        <v>0</v>
      </c>
      <c r="AP41" s="15">
        <f t="shared" si="7"/>
        <v>0</v>
      </c>
      <c r="AQ41" s="15">
        <f t="shared" si="7"/>
        <v>0</v>
      </c>
      <c r="AR41" s="15">
        <f t="shared" si="7"/>
        <v>0</v>
      </c>
      <c r="AS41" s="15">
        <f t="shared" si="7"/>
        <v>0</v>
      </c>
      <c r="AT41" s="15">
        <f t="shared" si="7"/>
        <v>0</v>
      </c>
      <c r="AU41" s="15">
        <f t="shared" si="7"/>
        <v>0</v>
      </c>
      <c r="AV41" s="15">
        <f t="shared" si="7"/>
        <v>0</v>
      </c>
      <c r="AW41" s="15">
        <f t="shared" si="7"/>
        <v>0</v>
      </c>
      <c r="AX41" s="15">
        <f t="shared" si="7"/>
        <v>0</v>
      </c>
      <c r="AY41" s="15">
        <f t="shared" si="7"/>
        <v>0</v>
      </c>
      <c r="AZ41" s="15">
        <f t="shared" si="7"/>
        <v>0</v>
      </c>
      <c r="BA41" s="15">
        <f t="shared" si="7"/>
        <v>0</v>
      </c>
      <c r="BB41" s="15">
        <f t="shared" si="7"/>
        <v>0</v>
      </c>
      <c r="BC41" s="15">
        <f t="shared" si="7"/>
        <v>0</v>
      </c>
      <c r="BD41" s="15">
        <f t="shared" si="7"/>
        <v>0</v>
      </c>
      <c r="BE41" s="15">
        <f t="shared" si="7"/>
        <v>0</v>
      </c>
      <c r="BF41" s="15">
        <f t="shared" si="7"/>
        <v>0</v>
      </c>
      <c r="BG41" s="15">
        <f t="shared" si="7"/>
        <v>0</v>
      </c>
      <c r="BH41" s="15">
        <f t="shared" si="7"/>
        <v>0</v>
      </c>
      <c r="BI41" s="15">
        <f t="shared" si="7"/>
        <v>0</v>
      </c>
      <c r="BJ41" s="15">
        <f t="shared" si="7"/>
        <v>0</v>
      </c>
      <c r="BK41" s="15">
        <f t="shared" si="7"/>
        <v>0</v>
      </c>
      <c r="BL41" s="15">
        <f t="shared" si="7"/>
        <v>0</v>
      </c>
      <c r="BM41" s="15">
        <f t="shared" si="7"/>
        <v>0</v>
      </c>
      <c r="BN41" s="15">
        <f t="shared" si="7"/>
        <v>0</v>
      </c>
      <c r="BO41" s="15">
        <f t="shared" si="7"/>
        <v>0</v>
      </c>
      <c r="BP41" s="15">
        <f t="shared" si="7"/>
        <v>0</v>
      </c>
      <c r="BQ41" s="15">
        <f t="shared" si="7"/>
        <v>0</v>
      </c>
      <c r="BR41" s="15">
        <f t="shared" si="7"/>
        <v>-179400000</v>
      </c>
      <c r="BT41" s="24"/>
      <c r="BU41" s="4">
        <v>9.3333333333333338E-2</v>
      </c>
      <c r="BV41" s="6">
        <v>0</v>
      </c>
      <c r="BW41" s="6">
        <f t="shared" si="15"/>
        <v>0.41095890410958902</v>
      </c>
      <c r="BX41" s="6">
        <f t="shared" si="15"/>
        <v>0.49446827726349057</v>
      </c>
      <c r="BY41" s="6">
        <f t="shared" si="15"/>
        <v>0.51576565211146774</v>
      </c>
      <c r="BZ41" s="6">
        <f t="shared" si="15"/>
        <v>0.52149397895713612</v>
      </c>
      <c r="CA41" s="6">
        <f t="shared" si="15"/>
        <v>0.52305649933975962</v>
      </c>
      <c r="CB41" s="6">
        <f t="shared" si="15"/>
        <v>0.52348433598989241</v>
      </c>
      <c r="CC41" s="6">
        <f t="shared" si="15"/>
        <v>0.52360160483419294</v>
      </c>
      <c r="CD41" s="6">
        <f t="shared" si="15"/>
        <v>0.52363375707534621</v>
      </c>
      <c r="CE41" s="6">
        <f t="shared" si="15"/>
        <v>0.52364257312109652</v>
      </c>
      <c r="CF41" s="6">
        <f t="shared" si="15"/>
        <v>0.5236449905056163</v>
      </c>
      <c r="CG41" s="6">
        <f t="shared" si="15"/>
        <v>0.52364565336314417</v>
      </c>
      <c r="CH41" s="6">
        <f t="shared" si="15"/>
        <v>0.52364583512190344</v>
      </c>
      <c r="CI41" s="6">
        <f t="shared" si="15"/>
        <v>0.52364588496106157</v>
      </c>
      <c r="CJ41" s="6">
        <f t="shared" si="15"/>
        <v>0.52364589862720901</v>
      </c>
      <c r="CK41" s="6">
        <f t="shared" si="15"/>
        <v>0.52364590237453534</v>
      </c>
      <c r="CL41" s="6">
        <f t="shared" si="15"/>
        <v>0.52364590340207107</v>
      </c>
      <c r="CM41" s="6">
        <f t="shared" si="15"/>
        <v>0.52364590368382657</v>
      </c>
      <c r="CN41" s="6">
        <f t="shared" si="15"/>
        <v>0.52364590376108522</v>
      </c>
      <c r="CO41" s="6">
        <f t="shared" si="15"/>
        <v>0.52364590378227005</v>
      </c>
      <c r="CP41" s="6">
        <f t="shared" si="15"/>
        <v>0.52364590378807896</v>
      </c>
      <c r="CQ41" s="6">
        <f t="shared" si="15"/>
        <v>0.5236459037896718</v>
      </c>
      <c r="CR41" s="6">
        <f t="shared" si="15"/>
        <v>0.52364590379010867</v>
      </c>
      <c r="CS41" s="6">
        <f t="shared" si="15"/>
        <v>0.52364590379022846</v>
      </c>
      <c r="CT41" s="6">
        <f t="shared" si="15"/>
        <v>0.52364590379026121</v>
      </c>
      <c r="CU41" s="6">
        <f t="shared" si="15"/>
        <v>0.52364590379027021</v>
      </c>
      <c r="CV41" s="6">
        <f t="shared" si="15"/>
        <v>0.52364590379027265</v>
      </c>
      <c r="CW41" s="6">
        <f t="shared" si="15"/>
        <v>0.52364590379027331</v>
      </c>
      <c r="CX41" s="6">
        <f t="shared" si="15"/>
        <v>0.52364590379027354</v>
      </c>
      <c r="CY41" s="6">
        <f t="shared" si="15"/>
        <v>0.52364590379027354</v>
      </c>
      <c r="CZ41" s="6">
        <f t="shared" si="16"/>
        <v>100</v>
      </c>
      <c r="DB41" s="24"/>
      <c r="DC41" s="4">
        <v>9.3333333333333338E-2</v>
      </c>
      <c r="DD41" s="6">
        <f t="shared" si="17"/>
        <v>300</v>
      </c>
      <c r="DE41" s="6">
        <f t="shared" si="18"/>
        <v>123.28767123287672</v>
      </c>
      <c r="DF41" s="6">
        <f t="shared" si="9"/>
        <v>60.961842402348154</v>
      </c>
      <c r="DG41" s="6">
        <f t="shared" si="9"/>
        <v>31.442024400563621</v>
      </c>
      <c r="DH41" s="6">
        <f t="shared" si="9"/>
        <v>16.396826411117285</v>
      </c>
      <c r="DI41" s="6">
        <f t="shared" si="9"/>
        <v>8.5764666228807211</v>
      </c>
      <c r="DJ41" s="6">
        <f t="shared" si="9"/>
        <v>4.4896459352181886</v>
      </c>
      <c r="DK41" s="6">
        <f t="shared" si="9"/>
        <v>2.3507858168175546</v>
      </c>
      <c r="DL41" s="6">
        <f t="shared" si="9"/>
        <v>1.2309508093396129</v>
      </c>
      <c r="DM41" s="6">
        <f t="shared" si="9"/>
        <v>0.64457824918809103</v>
      </c>
      <c r="DN41" s="6">
        <f t="shared" si="9"/>
        <v>0.33753017117622475</v>
      </c>
      <c r="DO41" s="6">
        <f t="shared" si="9"/>
        <v>0.17674620701534813</v>
      </c>
      <c r="DP41" s="6">
        <f t="shared" si="9"/>
        <v>9.2552415177180797E-2</v>
      </c>
      <c r="DQ41" s="6">
        <f t="shared" si="9"/>
        <v>4.8464691350738429E-2</v>
      </c>
      <c r="DR41" s="6">
        <f t="shared" si="9"/>
        <v>2.5378336854047744E-2</v>
      </c>
      <c r="DS41" s="6">
        <f t="shared" si="9"/>
        <v>1.3289262102702756E-2</v>
      </c>
      <c r="DT41" s="6">
        <f t="shared" si="9"/>
        <v>6.9588676593166912E-3</v>
      </c>
      <c r="DU41" s="6">
        <f t="shared" si="9"/>
        <v>3.6439825440790436E-3</v>
      </c>
      <c r="DV41" s="6">
        <f t="shared" si="9"/>
        <v>1.9081565325838894E-3</v>
      </c>
      <c r="DW41" s="6">
        <f t="shared" si="9"/>
        <v>9.9919835206293325E-4</v>
      </c>
      <c r="DX41" s="6">
        <f t="shared" si="9"/>
        <v>5.2322612412955387E-4</v>
      </c>
      <c r="DY41" s="6">
        <f t="shared" si="9"/>
        <v>2.7398521665618727E-4</v>
      </c>
      <c r="DZ41" s="6">
        <f t="shared" si="9"/>
        <v>1.434712364010579E-4</v>
      </c>
      <c r="EA41" s="6">
        <f t="shared" si="9"/>
        <v>7.5128125253133484E-5</v>
      </c>
      <c r="EB41" s="6">
        <f t="shared" si="9"/>
        <v>3.9340535048245028E-5</v>
      </c>
      <c r="EC41" s="6">
        <f t="shared" si="9"/>
        <v>2.0600510030931069E-5</v>
      </c>
      <c r="ED41" s="6">
        <f t="shared" si="9"/>
        <v>1.0787372693687478E-5</v>
      </c>
      <c r="EE41" s="6">
        <f t="shared" si="9"/>
        <v>5.6487635237084939E-6</v>
      </c>
      <c r="EF41" s="6">
        <f t="shared" si="9"/>
        <v>2.9579518806698644E-6</v>
      </c>
      <c r="EG41" s="6">
        <f t="shared" si="9"/>
        <v>1.5489193859215107E-6</v>
      </c>
      <c r="EH41" s="6">
        <f t="shared" si="9"/>
        <v>22.691323308663819</v>
      </c>
    </row>
    <row r="42" spans="5:138">
      <c r="E42" s="26"/>
      <c r="F42" s="4">
        <v>9.0000000000000011E-2</v>
      </c>
      <c r="G42">
        <f t="shared" si="10"/>
        <v>300</v>
      </c>
      <c r="H42">
        <f t="shared" si="11"/>
        <v>157.09377165338856</v>
      </c>
      <c r="I42">
        <f t="shared" si="6"/>
        <v>82.261511023245447</v>
      </c>
      <c r="J42">
        <f t="shared" si="6"/>
        <v>43.075905169842066</v>
      </c>
      <c r="K42">
        <f t="shared" si="6"/>
        <v>22.556524890036922</v>
      </c>
      <c r="L42">
        <f t="shared" si="6"/>
        <v>11.811638729247784</v>
      </c>
      <c r="M42">
        <f t="shared" si="6"/>
        <v>6.1851293511326899</v>
      </c>
      <c r="N42">
        <f t="shared" si="6"/>
        <v>3.2388426918417639</v>
      </c>
      <c r="O42">
        <f t="shared" si="6"/>
        <v>1.6960545323489358</v>
      </c>
      <c r="P42">
        <f t="shared" si="6"/>
        <v>0.8882233368739797</v>
      </c>
      <c r="Q42">
        <f t="shared" si="6"/>
        <v>0.46528892071108163</v>
      </c>
      <c r="R42">
        <f t="shared" si="6"/>
        <v>0.24397970352298565</v>
      </c>
      <c r="S42">
        <f t="shared" si="6"/>
        <v>0.12839502452818344</v>
      </c>
      <c r="T42">
        <f t="shared" si="6"/>
        <v>6.8448189495594031E-2</v>
      </c>
      <c r="U42">
        <f t="shared" si="6"/>
        <v>3.8162236577762049E-2</v>
      </c>
      <c r="V42">
        <f t="shared" si="6"/>
        <v>2.4413252843626963E-2</v>
      </c>
      <c r="W42">
        <f t="shared" si="6"/>
        <v>2.1243345341730224E-2</v>
      </c>
      <c r="X42">
        <f t="shared" si="6"/>
        <v>2.7278887487916587E-2</v>
      </c>
      <c r="Y42">
        <f t="shared" si="6"/>
        <v>4.5135280878866799E-2</v>
      </c>
      <c r="Z42">
        <f t="shared" si="6"/>
        <v>8.2550295983992647E-2</v>
      </c>
      <c r="AA42">
        <f t="shared" si="6"/>
        <v>0.1557371060155153</v>
      </c>
      <c r="AB42">
        <f t="shared" si="6"/>
        <v>0.29640999532042794</v>
      </c>
      <c r="AC42">
        <f t="shared" si="6"/>
        <v>0.56552721593085942</v>
      </c>
      <c r="AD42">
        <f t="shared" si="6"/>
        <v>1.0797062301113298</v>
      </c>
      <c r="AE42">
        <f t="shared" si="6"/>
        <v>2.0617579440067098</v>
      </c>
      <c r="AF42">
        <f t="shared" si="6"/>
        <v>3.937238100304997</v>
      </c>
      <c r="AG42">
        <f t="shared" si="6"/>
        <v>7.5188547667354504</v>
      </c>
      <c r="AH42">
        <f t="shared" si="6"/>
        <v>14.358641832084601</v>
      </c>
      <c r="AI42">
        <f t="shared" si="12"/>
        <v>27.420507024670414</v>
      </c>
      <c r="AJ42">
        <f t="shared" si="12"/>
        <v>52.364591927946741</v>
      </c>
      <c r="AK42">
        <f t="shared" si="13"/>
        <v>100</v>
      </c>
      <c r="AL42" s="24"/>
      <c r="AM42" s="4">
        <v>9.0000000000000011E-2</v>
      </c>
      <c r="AN42" s="15">
        <f t="shared" si="14"/>
        <v>-538200000</v>
      </c>
      <c r="AO42" s="15">
        <f t="shared" si="14"/>
        <v>0</v>
      </c>
      <c r="AP42" s="15">
        <f t="shared" si="7"/>
        <v>0</v>
      </c>
      <c r="AQ42" s="15">
        <f t="shared" si="7"/>
        <v>0</v>
      </c>
      <c r="AR42" s="15">
        <f t="shared" si="7"/>
        <v>0</v>
      </c>
      <c r="AS42" s="15">
        <f t="shared" si="7"/>
        <v>0</v>
      </c>
      <c r="AT42" s="15">
        <f t="shared" si="7"/>
        <v>0</v>
      </c>
      <c r="AU42" s="15">
        <f t="shared" si="7"/>
        <v>0</v>
      </c>
      <c r="AV42" s="15">
        <f t="shared" si="7"/>
        <v>0</v>
      </c>
      <c r="AW42" s="15">
        <f t="shared" si="7"/>
        <v>0</v>
      </c>
      <c r="AX42" s="15">
        <f t="shared" si="7"/>
        <v>0</v>
      </c>
      <c r="AY42" s="15">
        <f t="shared" si="7"/>
        <v>0</v>
      </c>
      <c r="AZ42" s="15">
        <f t="shared" si="7"/>
        <v>0</v>
      </c>
      <c r="BA42" s="15">
        <f t="shared" si="7"/>
        <v>0</v>
      </c>
      <c r="BB42" s="15">
        <f t="shared" si="7"/>
        <v>0</v>
      </c>
      <c r="BC42" s="15">
        <f t="shared" si="7"/>
        <v>0</v>
      </c>
      <c r="BD42" s="15">
        <f t="shared" si="7"/>
        <v>0</v>
      </c>
      <c r="BE42" s="15">
        <f t="shared" si="7"/>
        <v>0</v>
      </c>
      <c r="BF42" s="15">
        <f t="shared" si="7"/>
        <v>0</v>
      </c>
      <c r="BG42" s="15">
        <f t="shared" si="7"/>
        <v>0</v>
      </c>
      <c r="BH42" s="15">
        <f t="shared" si="7"/>
        <v>0</v>
      </c>
      <c r="BI42" s="15">
        <f t="shared" si="7"/>
        <v>0</v>
      </c>
      <c r="BJ42" s="15">
        <f t="shared" si="7"/>
        <v>0</v>
      </c>
      <c r="BK42" s="15">
        <f t="shared" si="7"/>
        <v>0</v>
      </c>
      <c r="BL42" s="15">
        <f t="shared" si="7"/>
        <v>0</v>
      </c>
      <c r="BM42" s="15">
        <f t="shared" si="7"/>
        <v>0</v>
      </c>
      <c r="BN42" s="15">
        <f t="shared" si="7"/>
        <v>0</v>
      </c>
      <c r="BO42" s="15">
        <f t="shared" si="7"/>
        <v>0</v>
      </c>
      <c r="BP42" s="15">
        <f t="shared" si="7"/>
        <v>0</v>
      </c>
      <c r="BQ42" s="15">
        <f t="shared" si="7"/>
        <v>0</v>
      </c>
      <c r="BR42" s="15">
        <f t="shared" si="7"/>
        <v>-179400000</v>
      </c>
      <c r="BT42" s="24"/>
      <c r="BU42" s="4">
        <v>9.0000000000000011E-2</v>
      </c>
      <c r="BV42" s="6">
        <v>0</v>
      </c>
      <c r="BW42" s="6">
        <f t="shared" si="15"/>
        <v>0.41095890410958902</v>
      </c>
      <c r="BX42" s="6">
        <f t="shared" si="15"/>
        <v>0.49446827726349057</v>
      </c>
      <c r="BY42" s="6">
        <f t="shared" si="15"/>
        <v>0.51576565211146774</v>
      </c>
      <c r="BZ42" s="6">
        <f t="shared" si="15"/>
        <v>0.52149397895713612</v>
      </c>
      <c r="CA42" s="6">
        <f t="shared" si="15"/>
        <v>0.52305649933975962</v>
      </c>
      <c r="CB42" s="6">
        <f t="shared" si="15"/>
        <v>0.52348433598989241</v>
      </c>
      <c r="CC42" s="6">
        <f t="shared" si="15"/>
        <v>0.52360160483419294</v>
      </c>
      <c r="CD42" s="6">
        <f t="shared" si="15"/>
        <v>0.52363375707534621</v>
      </c>
      <c r="CE42" s="6">
        <f t="shared" si="15"/>
        <v>0.52364257312109652</v>
      </c>
      <c r="CF42" s="6">
        <f t="shared" si="15"/>
        <v>0.5236449905056163</v>
      </c>
      <c r="CG42" s="6">
        <f t="shared" si="15"/>
        <v>0.52364565336314417</v>
      </c>
      <c r="CH42" s="6">
        <f t="shared" si="15"/>
        <v>0.52364583512190344</v>
      </c>
      <c r="CI42" s="6">
        <f t="shared" si="15"/>
        <v>0.52364588496106157</v>
      </c>
      <c r="CJ42" s="6">
        <f t="shared" si="15"/>
        <v>0.52364589862720901</v>
      </c>
      <c r="CK42" s="6">
        <f t="shared" si="15"/>
        <v>0.52364590237453534</v>
      </c>
      <c r="CL42" s="6">
        <f t="shared" si="15"/>
        <v>0.52364590340207107</v>
      </c>
      <c r="CM42" s="6">
        <f t="shared" si="15"/>
        <v>0.52364590368382657</v>
      </c>
      <c r="CN42" s="6">
        <f t="shared" si="15"/>
        <v>0.52364590376108522</v>
      </c>
      <c r="CO42" s="6">
        <f t="shared" si="15"/>
        <v>0.52364590378227005</v>
      </c>
      <c r="CP42" s="6">
        <f t="shared" si="15"/>
        <v>0.52364590378807896</v>
      </c>
      <c r="CQ42" s="6">
        <f t="shared" si="15"/>
        <v>0.5236459037896718</v>
      </c>
      <c r="CR42" s="6">
        <f t="shared" si="15"/>
        <v>0.52364590379010867</v>
      </c>
      <c r="CS42" s="6">
        <f t="shared" si="15"/>
        <v>0.52364590379022846</v>
      </c>
      <c r="CT42" s="6">
        <f t="shared" si="15"/>
        <v>0.52364590379026121</v>
      </c>
      <c r="CU42" s="6">
        <f t="shared" si="15"/>
        <v>0.52364590379027021</v>
      </c>
      <c r="CV42" s="6">
        <f t="shared" si="15"/>
        <v>0.52364590379027265</v>
      </c>
      <c r="CW42" s="6">
        <f t="shared" si="15"/>
        <v>0.52364590379027331</v>
      </c>
      <c r="CX42" s="6">
        <f t="shared" si="15"/>
        <v>0.52364590379027354</v>
      </c>
      <c r="CY42" s="6">
        <f t="shared" si="15"/>
        <v>0.52364590379027354</v>
      </c>
      <c r="CZ42" s="6">
        <f t="shared" si="16"/>
        <v>100</v>
      </c>
      <c r="DB42" s="24"/>
      <c r="DC42" s="4">
        <v>9.0000000000000011E-2</v>
      </c>
      <c r="DD42" s="6">
        <f t="shared" si="17"/>
        <v>300</v>
      </c>
      <c r="DE42" s="6">
        <f t="shared" si="18"/>
        <v>123.28767123287672</v>
      </c>
      <c r="DF42" s="6">
        <f t="shared" si="9"/>
        <v>60.961842402348154</v>
      </c>
      <c r="DG42" s="6">
        <f t="shared" si="9"/>
        <v>31.442024400563621</v>
      </c>
      <c r="DH42" s="6">
        <f t="shared" si="9"/>
        <v>16.396826411117285</v>
      </c>
      <c r="DI42" s="6">
        <f t="shared" si="9"/>
        <v>8.5764666228807211</v>
      </c>
      <c r="DJ42" s="6">
        <f t="shared" si="9"/>
        <v>4.4896459352181886</v>
      </c>
      <c r="DK42" s="6">
        <f t="shared" si="9"/>
        <v>2.3507858168175546</v>
      </c>
      <c r="DL42" s="6">
        <f t="shared" si="9"/>
        <v>1.2309508093396129</v>
      </c>
      <c r="DM42" s="6">
        <f t="shared" si="9"/>
        <v>0.64457824918809103</v>
      </c>
      <c r="DN42" s="6">
        <f t="shared" si="9"/>
        <v>0.33753017117622475</v>
      </c>
      <c r="DO42" s="6">
        <f t="shared" si="9"/>
        <v>0.17674620701534813</v>
      </c>
      <c r="DP42" s="6">
        <f t="shared" si="9"/>
        <v>9.2552415177180797E-2</v>
      </c>
      <c r="DQ42" s="6">
        <f t="shared" si="9"/>
        <v>4.8464691350738429E-2</v>
      </c>
      <c r="DR42" s="6">
        <f t="shared" si="9"/>
        <v>2.5378336854047744E-2</v>
      </c>
      <c r="DS42" s="6">
        <f t="shared" si="9"/>
        <v>1.3289262102702756E-2</v>
      </c>
      <c r="DT42" s="6">
        <f t="shared" si="9"/>
        <v>6.9588676593166912E-3</v>
      </c>
      <c r="DU42" s="6">
        <f t="shared" si="9"/>
        <v>3.6439825440790436E-3</v>
      </c>
      <c r="DV42" s="6">
        <f t="shared" si="9"/>
        <v>1.9081565325838894E-3</v>
      </c>
      <c r="DW42" s="6">
        <f t="shared" si="9"/>
        <v>9.9919835206293325E-4</v>
      </c>
      <c r="DX42" s="6">
        <f t="shared" si="9"/>
        <v>5.2322612412955387E-4</v>
      </c>
      <c r="DY42" s="6">
        <f t="shared" si="9"/>
        <v>2.7398521665618727E-4</v>
      </c>
      <c r="DZ42" s="6">
        <f t="shared" si="9"/>
        <v>1.434712364010579E-4</v>
      </c>
      <c r="EA42" s="6">
        <f t="shared" si="9"/>
        <v>7.5128125253133484E-5</v>
      </c>
      <c r="EB42" s="6">
        <f t="shared" si="9"/>
        <v>3.9340535048245028E-5</v>
      </c>
      <c r="EC42" s="6">
        <f t="shared" si="9"/>
        <v>2.0600510030931069E-5</v>
      </c>
      <c r="ED42" s="6">
        <f t="shared" si="9"/>
        <v>1.0787372693687478E-5</v>
      </c>
      <c r="EE42" s="6">
        <f t="shared" si="9"/>
        <v>5.6487635237084939E-6</v>
      </c>
      <c r="EF42" s="6">
        <f t="shared" si="9"/>
        <v>2.9579518806698644E-6</v>
      </c>
      <c r="EG42" s="6">
        <f t="shared" si="9"/>
        <v>1.5489193859215107E-6</v>
      </c>
      <c r="EH42" s="6">
        <f t="shared" si="9"/>
        <v>22.691323308663819</v>
      </c>
    </row>
    <row r="43" spans="5:138">
      <c r="E43" s="26"/>
      <c r="F43" s="4">
        <v>8.666666666666667E-2</v>
      </c>
      <c r="G43">
        <f t="shared" si="10"/>
        <v>300</v>
      </c>
      <c r="H43">
        <f t="shared" si="11"/>
        <v>157.09377165338856</v>
      </c>
      <c r="I43">
        <f t="shared" si="6"/>
        <v>82.261511023245447</v>
      </c>
      <c r="J43">
        <f t="shared" si="6"/>
        <v>43.075905169842066</v>
      </c>
      <c r="K43">
        <f t="shared" si="6"/>
        <v>22.556524890036922</v>
      </c>
      <c r="L43">
        <f t="shared" si="6"/>
        <v>11.811638729247784</v>
      </c>
      <c r="M43">
        <f t="shared" si="6"/>
        <v>6.1851293511326899</v>
      </c>
      <c r="N43">
        <f t="shared" si="6"/>
        <v>3.2388426918417639</v>
      </c>
      <c r="O43">
        <f t="shared" si="6"/>
        <v>1.6960545323489358</v>
      </c>
      <c r="P43">
        <f t="shared" si="6"/>
        <v>0.8882233368739797</v>
      </c>
      <c r="Q43">
        <f t="shared" si="6"/>
        <v>0.46528892071108163</v>
      </c>
      <c r="R43">
        <f t="shared" si="6"/>
        <v>0.24397970352298565</v>
      </c>
      <c r="S43">
        <f t="shared" si="6"/>
        <v>0.12839502452818344</v>
      </c>
      <c r="T43">
        <f t="shared" si="6"/>
        <v>6.8448189495594031E-2</v>
      </c>
      <c r="U43">
        <f t="shared" si="6"/>
        <v>3.8162236577762049E-2</v>
      </c>
      <c r="V43">
        <f t="shared" si="6"/>
        <v>2.4413252843626963E-2</v>
      </c>
      <c r="W43">
        <f t="shared" si="6"/>
        <v>2.1243345341730224E-2</v>
      </c>
      <c r="X43">
        <f t="shared" si="6"/>
        <v>2.7278887487916587E-2</v>
      </c>
      <c r="Y43">
        <f t="shared" si="6"/>
        <v>4.5135280878866799E-2</v>
      </c>
      <c r="Z43">
        <f t="shared" si="6"/>
        <v>8.2550295983992647E-2</v>
      </c>
      <c r="AA43">
        <f t="shared" si="6"/>
        <v>0.1557371060155153</v>
      </c>
      <c r="AB43">
        <f t="shared" si="6"/>
        <v>0.29640999532042794</v>
      </c>
      <c r="AC43">
        <f t="shared" si="6"/>
        <v>0.56552721593085942</v>
      </c>
      <c r="AD43">
        <f t="shared" si="6"/>
        <v>1.0797062301113298</v>
      </c>
      <c r="AE43">
        <f t="shared" si="6"/>
        <v>2.0617579440067098</v>
      </c>
      <c r="AF43">
        <f t="shared" si="6"/>
        <v>3.937238100304997</v>
      </c>
      <c r="AG43">
        <f t="shared" si="6"/>
        <v>7.5188547667354504</v>
      </c>
      <c r="AH43">
        <f t="shared" si="6"/>
        <v>14.358641832084601</v>
      </c>
      <c r="AI43">
        <f t="shared" si="12"/>
        <v>27.420507024670414</v>
      </c>
      <c r="AJ43">
        <f t="shared" si="12"/>
        <v>52.364591927946741</v>
      </c>
      <c r="AK43">
        <f t="shared" si="13"/>
        <v>100</v>
      </c>
      <c r="AL43" s="24"/>
      <c r="AM43" s="4">
        <v>8.666666666666667E-2</v>
      </c>
      <c r="AN43" s="15">
        <f t="shared" si="14"/>
        <v>-538200000</v>
      </c>
      <c r="AO43" s="15">
        <f t="shared" si="14"/>
        <v>0</v>
      </c>
      <c r="AP43" s="15">
        <f t="shared" si="7"/>
        <v>0</v>
      </c>
      <c r="AQ43" s="15">
        <f t="shared" si="7"/>
        <v>0</v>
      </c>
      <c r="AR43" s="15">
        <f t="shared" si="7"/>
        <v>0</v>
      </c>
      <c r="AS43" s="15">
        <f t="shared" si="7"/>
        <v>0</v>
      </c>
      <c r="AT43" s="15">
        <f t="shared" si="7"/>
        <v>0</v>
      </c>
      <c r="AU43" s="15">
        <f t="shared" si="7"/>
        <v>0</v>
      </c>
      <c r="AV43" s="15">
        <f t="shared" si="7"/>
        <v>0</v>
      </c>
      <c r="AW43" s="15">
        <f t="shared" si="7"/>
        <v>0</v>
      </c>
      <c r="AX43" s="15">
        <f t="shared" si="7"/>
        <v>0</v>
      </c>
      <c r="AY43" s="15">
        <f t="shared" si="7"/>
        <v>0</v>
      </c>
      <c r="AZ43" s="15">
        <f t="shared" si="7"/>
        <v>0</v>
      </c>
      <c r="BA43" s="15">
        <f t="shared" si="7"/>
        <v>0</v>
      </c>
      <c r="BB43" s="15">
        <f t="shared" si="7"/>
        <v>0</v>
      </c>
      <c r="BC43" s="15">
        <f t="shared" si="7"/>
        <v>0</v>
      </c>
      <c r="BD43" s="15">
        <f t="shared" si="7"/>
        <v>0</v>
      </c>
      <c r="BE43" s="15">
        <f t="shared" si="7"/>
        <v>0</v>
      </c>
      <c r="BF43" s="15">
        <f t="shared" si="7"/>
        <v>0</v>
      </c>
      <c r="BG43" s="15">
        <f t="shared" si="7"/>
        <v>0</v>
      </c>
      <c r="BH43" s="15">
        <f t="shared" si="7"/>
        <v>0</v>
      </c>
      <c r="BI43" s="15">
        <f t="shared" si="7"/>
        <v>0</v>
      </c>
      <c r="BJ43" s="15">
        <f t="shared" si="7"/>
        <v>0</v>
      </c>
      <c r="BK43" s="15">
        <f t="shared" si="7"/>
        <v>0</v>
      </c>
      <c r="BL43" s="15">
        <f t="shared" si="7"/>
        <v>0</v>
      </c>
      <c r="BM43" s="15">
        <f t="shared" si="7"/>
        <v>0</v>
      </c>
      <c r="BN43" s="15">
        <f t="shared" si="7"/>
        <v>0</v>
      </c>
      <c r="BO43" s="15">
        <f t="shared" si="7"/>
        <v>0</v>
      </c>
      <c r="BP43" s="15">
        <f t="shared" si="7"/>
        <v>0</v>
      </c>
      <c r="BQ43" s="15">
        <f t="shared" si="7"/>
        <v>0</v>
      </c>
      <c r="BR43" s="15">
        <f t="shared" si="7"/>
        <v>-179400000</v>
      </c>
      <c r="BT43" s="24"/>
      <c r="BU43" s="4">
        <v>8.666666666666667E-2</v>
      </c>
      <c r="BV43" s="6">
        <v>0</v>
      </c>
      <c r="BW43" s="6">
        <f t="shared" si="15"/>
        <v>0.41095890410958902</v>
      </c>
      <c r="BX43" s="6">
        <f t="shared" si="15"/>
        <v>0.49446827726349057</v>
      </c>
      <c r="BY43" s="6">
        <f t="shared" si="15"/>
        <v>0.51576565211146774</v>
      </c>
      <c r="BZ43" s="6">
        <f t="shared" si="15"/>
        <v>0.52149397895713612</v>
      </c>
      <c r="CA43" s="6">
        <f t="shared" si="15"/>
        <v>0.52305649933975962</v>
      </c>
      <c r="CB43" s="6">
        <f t="shared" si="15"/>
        <v>0.52348433598989241</v>
      </c>
      <c r="CC43" s="6">
        <f t="shared" si="15"/>
        <v>0.52360160483419294</v>
      </c>
      <c r="CD43" s="6">
        <f t="shared" si="15"/>
        <v>0.52363375707534621</v>
      </c>
      <c r="CE43" s="6">
        <f t="shared" si="15"/>
        <v>0.52364257312109652</v>
      </c>
      <c r="CF43" s="6">
        <f t="shared" si="15"/>
        <v>0.5236449905056163</v>
      </c>
      <c r="CG43" s="6">
        <f t="shared" si="15"/>
        <v>0.52364565336314417</v>
      </c>
      <c r="CH43" s="6">
        <f t="shared" si="15"/>
        <v>0.52364583512190344</v>
      </c>
      <c r="CI43" s="6">
        <f t="shared" si="15"/>
        <v>0.52364588496106157</v>
      </c>
      <c r="CJ43" s="6">
        <f t="shared" si="15"/>
        <v>0.52364589862720901</v>
      </c>
      <c r="CK43" s="6">
        <f t="shared" si="15"/>
        <v>0.52364590237453534</v>
      </c>
      <c r="CL43" s="6">
        <f t="shared" si="15"/>
        <v>0.52364590340207107</v>
      </c>
      <c r="CM43" s="6">
        <f t="shared" si="15"/>
        <v>0.52364590368382657</v>
      </c>
      <c r="CN43" s="6">
        <f t="shared" si="15"/>
        <v>0.52364590376108522</v>
      </c>
      <c r="CO43" s="6">
        <f t="shared" si="15"/>
        <v>0.52364590378227005</v>
      </c>
      <c r="CP43" s="6">
        <f t="shared" si="15"/>
        <v>0.52364590378807896</v>
      </c>
      <c r="CQ43" s="6">
        <f t="shared" si="15"/>
        <v>0.5236459037896718</v>
      </c>
      <c r="CR43" s="6">
        <f t="shared" si="15"/>
        <v>0.52364590379010867</v>
      </c>
      <c r="CS43" s="6">
        <f t="shared" si="15"/>
        <v>0.52364590379022846</v>
      </c>
      <c r="CT43" s="6">
        <f t="shared" si="15"/>
        <v>0.52364590379026121</v>
      </c>
      <c r="CU43" s="6">
        <f t="shared" si="15"/>
        <v>0.52364590379027021</v>
      </c>
      <c r="CV43" s="6">
        <f t="shared" si="15"/>
        <v>0.52364590379027265</v>
      </c>
      <c r="CW43" s="6">
        <f t="shared" si="15"/>
        <v>0.52364590379027331</v>
      </c>
      <c r="CX43" s="6">
        <f t="shared" si="15"/>
        <v>0.52364590379027354</v>
      </c>
      <c r="CY43" s="6">
        <f t="shared" si="15"/>
        <v>0.52364590379027354</v>
      </c>
      <c r="CZ43" s="6">
        <f t="shared" si="16"/>
        <v>100</v>
      </c>
      <c r="DB43" s="24"/>
      <c r="DC43" s="4">
        <v>8.666666666666667E-2</v>
      </c>
      <c r="DD43" s="6">
        <f t="shared" si="17"/>
        <v>300</v>
      </c>
      <c r="DE43" s="6">
        <f t="shared" si="18"/>
        <v>123.28767123287672</v>
      </c>
      <c r="DF43" s="6">
        <f t="shared" si="9"/>
        <v>60.961842402348154</v>
      </c>
      <c r="DG43" s="6">
        <f t="shared" si="9"/>
        <v>31.442024400563621</v>
      </c>
      <c r="DH43" s="6">
        <f t="shared" si="9"/>
        <v>16.396826411117285</v>
      </c>
      <c r="DI43" s="6">
        <f t="shared" si="9"/>
        <v>8.5764666228807211</v>
      </c>
      <c r="DJ43" s="6">
        <f t="shared" si="9"/>
        <v>4.4896459352181886</v>
      </c>
      <c r="DK43" s="6">
        <f t="shared" si="9"/>
        <v>2.3507858168175546</v>
      </c>
      <c r="DL43" s="6">
        <f t="shared" si="9"/>
        <v>1.2309508093396129</v>
      </c>
      <c r="DM43" s="6">
        <f t="shared" si="9"/>
        <v>0.64457824918809103</v>
      </c>
      <c r="DN43" s="6">
        <f t="shared" si="9"/>
        <v>0.33753017117622475</v>
      </c>
      <c r="DO43" s="6">
        <f t="shared" si="9"/>
        <v>0.17674620701534813</v>
      </c>
      <c r="DP43" s="6">
        <f t="shared" si="9"/>
        <v>9.2552415177180797E-2</v>
      </c>
      <c r="DQ43" s="6">
        <f t="shared" si="9"/>
        <v>4.8464691350738429E-2</v>
      </c>
      <c r="DR43" s="6">
        <f t="shared" si="9"/>
        <v>2.5378336854047744E-2</v>
      </c>
      <c r="DS43" s="6">
        <f t="shared" si="9"/>
        <v>1.3289262102702756E-2</v>
      </c>
      <c r="DT43" s="6">
        <f t="shared" si="9"/>
        <v>6.9588676593166912E-3</v>
      </c>
      <c r="DU43" s="6">
        <f t="shared" si="9"/>
        <v>3.6439825440790436E-3</v>
      </c>
      <c r="DV43" s="6">
        <f t="shared" si="9"/>
        <v>1.9081565325838894E-3</v>
      </c>
      <c r="DW43" s="6">
        <f t="shared" si="9"/>
        <v>9.9919835206293325E-4</v>
      </c>
      <c r="DX43" s="6">
        <f t="shared" si="9"/>
        <v>5.2322612412955387E-4</v>
      </c>
      <c r="DY43" s="6">
        <f t="shared" si="9"/>
        <v>2.7398521665618727E-4</v>
      </c>
      <c r="DZ43" s="6">
        <f t="shared" si="9"/>
        <v>1.434712364010579E-4</v>
      </c>
      <c r="EA43" s="6">
        <f t="shared" si="9"/>
        <v>7.5128125253133484E-5</v>
      </c>
      <c r="EB43" s="6">
        <f t="shared" si="9"/>
        <v>3.9340535048245028E-5</v>
      </c>
      <c r="EC43" s="6">
        <f t="shared" si="9"/>
        <v>2.0600510030931069E-5</v>
      </c>
      <c r="ED43" s="6">
        <f t="shared" si="9"/>
        <v>1.0787372693687478E-5</v>
      </c>
      <c r="EE43" s="6">
        <f t="shared" si="9"/>
        <v>5.6487635237084939E-6</v>
      </c>
      <c r="EF43" s="6">
        <f t="shared" si="9"/>
        <v>2.9579518806698644E-6</v>
      </c>
      <c r="EG43" s="6">
        <f t="shared" si="9"/>
        <v>1.5489193859215107E-6</v>
      </c>
      <c r="EH43" s="6">
        <f t="shared" si="9"/>
        <v>22.691323308663819</v>
      </c>
    </row>
    <row r="44" spans="5:138">
      <c r="E44" s="26"/>
      <c r="F44" s="4">
        <v>8.3333333333333343E-2</v>
      </c>
      <c r="G44">
        <f t="shared" si="10"/>
        <v>300</v>
      </c>
      <c r="H44">
        <f t="shared" si="11"/>
        <v>157.09377165338856</v>
      </c>
      <c r="I44">
        <f t="shared" si="6"/>
        <v>82.261511023245447</v>
      </c>
      <c r="J44">
        <f t="shared" si="6"/>
        <v>43.075905169842066</v>
      </c>
      <c r="K44">
        <f t="shared" si="6"/>
        <v>22.556524890036922</v>
      </c>
      <c r="L44">
        <f t="shared" si="6"/>
        <v>11.811638729247784</v>
      </c>
      <c r="M44">
        <f t="shared" si="6"/>
        <v>6.1851293511326899</v>
      </c>
      <c r="N44">
        <f t="shared" si="6"/>
        <v>3.2388426918417639</v>
      </c>
      <c r="O44">
        <f t="shared" si="6"/>
        <v>1.6960545323489358</v>
      </c>
      <c r="P44">
        <f t="shared" si="6"/>
        <v>0.8882233368739797</v>
      </c>
      <c r="Q44">
        <f t="shared" si="6"/>
        <v>0.46528892071108163</v>
      </c>
      <c r="R44">
        <f t="shared" si="6"/>
        <v>0.24397970352298565</v>
      </c>
      <c r="S44">
        <f t="shared" si="6"/>
        <v>0.12839502452818344</v>
      </c>
      <c r="T44">
        <f t="shared" si="6"/>
        <v>6.8448189495594031E-2</v>
      </c>
      <c r="U44">
        <f t="shared" si="6"/>
        <v>3.8162236577762049E-2</v>
      </c>
      <c r="V44">
        <f t="shared" si="6"/>
        <v>2.4413252843626963E-2</v>
      </c>
      <c r="W44">
        <f t="shared" si="6"/>
        <v>2.1243345341730224E-2</v>
      </c>
      <c r="X44">
        <f t="shared" si="6"/>
        <v>2.7278887487916587E-2</v>
      </c>
      <c r="Y44">
        <f t="shared" si="6"/>
        <v>4.5135280878866799E-2</v>
      </c>
      <c r="Z44">
        <f t="shared" si="6"/>
        <v>8.2550295983992647E-2</v>
      </c>
      <c r="AA44">
        <f t="shared" si="6"/>
        <v>0.1557371060155153</v>
      </c>
      <c r="AB44">
        <f t="shared" si="6"/>
        <v>0.29640999532042794</v>
      </c>
      <c r="AC44">
        <f t="shared" si="6"/>
        <v>0.56552721593085942</v>
      </c>
      <c r="AD44">
        <f t="shared" si="6"/>
        <v>1.0797062301113298</v>
      </c>
      <c r="AE44">
        <f t="shared" si="6"/>
        <v>2.0617579440067098</v>
      </c>
      <c r="AF44">
        <f t="shared" si="6"/>
        <v>3.937238100304997</v>
      </c>
      <c r="AG44">
        <f t="shared" si="6"/>
        <v>7.5188547667354504</v>
      </c>
      <c r="AH44">
        <f t="shared" si="6"/>
        <v>14.358641832084601</v>
      </c>
      <c r="AI44">
        <f t="shared" si="12"/>
        <v>27.420507024670414</v>
      </c>
      <c r="AJ44">
        <f t="shared" si="12"/>
        <v>52.364591927946741</v>
      </c>
      <c r="AK44">
        <f t="shared" si="13"/>
        <v>100</v>
      </c>
      <c r="AL44" s="24"/>
      <c r="AM44" s="4">
        <v>8.3333333333333343E-2</v>
      </c>
      <c r="AN44" s="15">
        <f t="shared" si="14"/>
        <v>-538200000</v>
      </c>
      <c r="AO44" s="15">
        <f t="shared" si="14"/>
        <v>0</v>
      </c>
      <c r="AP44" s="15">
        <f t="shared" si="7"/>
        <v>0</v>
      </c>
      <c r="AQ44" s="15">
        <f t="shared" si="7"/>
        <v>0</v>
      </c>
      <c r="AR44" s="15">
        <f t="shared" si="7"/>
        <v>0</v>
      </c>
      <c r="AS44" s="15">
        <f t="shared" si="7"/>
        <v>0</v>
      </c>
      <c r="AT44" s="15">
        <f t="shared" si="7"/>
        <v>0</v>
      </c>
      <c r="AU44" s="15">
        <f t="shared" si="7"/>
        <v>0</v>
      </c>
      <c r="AV44" s="15">
        <f t="shared" si="7"/>
        <v>0</v>
      </c>
      <c r="AW44" s="15">
        <f t="shared" si="7"/>
        <v>0</v>
      </c>
      <c r="AX44" s="15">
        <f t="shared" si="7"/>
        <v>0</v>
      </c>
      <c r="AY44" s="15">
        <f t="shared" si="7"/>
        <v>0</v>
      </c>
      <c r="AZ44" s="15">
        <f t="shared" si="7"/>
        <v>0</v>
      </c>
      <c r="BA44" s="15">
        <f t="shared" si="7"/>
        <v>0</v>
      </c>
      <c r="BB44" s="15">
        <f t="shared" si="7"/>
        <v>0</v>
      </c>
      <c r="BC44" s="15">
        <f t="shared" si="7"/>
        <v>0</v>
      </c>
      <c r="BD44" s="15">
        <f t="shared" si="7"/>
        <v>0</v>
      </c>
      <c r="BE44" s="15">
        <f t="shared" si="7"/>
        <v>0</v>
      </c>
      <c r="BF44" s="15">
        <f t="shared" si="7"/>
        <v>0</v>
      </c>
      <c r="BG44" s="15">
        <f t="shared" si="7"/>
        <v>0</v>
      </c>
      <c r="BH44" s="15">
        <f t="shared" si="7"/>
        <v>0</v>
      </c>
      <c r="BI44" s="15">
        <f t="shared" si="7"/>
        <v>0</v>
      </c>
      <c r="BJ44" s="15">
        <f t="shared" si="7"/>
        <v>0</v>
      </c>
      <c r="BK44" s="15">
        <f t="shared" si="7"/>
        <v>0</v>
      </c>
      <c r="BL44" s="15">
        <f t="shared" si="7"/>
        <v>0</v>
      </c>
      <c r="BM44" s="15">
        <f t="shared" si="7"/>
        <v>0</v>
      </c>
      <c r="BN44" s="15">
        <f t="shared" si="7"/>
        <v>0</v>
      </c>
      <c r="BO44" s="15">
        <f t="shared" si="7"/>
        <v>0</v>
      </c>
      <c r="BP44" s="15">
        <f t="shared" si="7"/>
        <v>0</v>
      </c>
      <c r="BQ44" s="15">
        <f t="shared" si="7"/>
        <v>0</v>
      </c>
      <c r="BR44" s="15">
        <f t="shared" si="7"/>
        <v>-179400000</v>
      </c>
      <c r="BT44" s="24"/>
      <c r="BU44" s="4">
        <v>8.3333333333333343E-2</v>
      </c>
      <c r="BV44" s="6">
        <v>0</v>
      </c>
      <c r="BW44" s="6">
        <f t="shared" si="15"/>
        <v>0.41095890410958902</v>
      </c>
      <c r="BX44" s="6">
        <f t="shared" si="15"/>
        <v>0.49446827726349057</v>
      </c>
      <c r="BY44" s="6">
        <f t="shared" si="15"/>
        <v>0.51576565211146774</v>
      </c>
      <c r="BZ44" s="6">
        <f t="shared" si="15"/>
        <v>0.52149397895713612</v>
      </c>
      <c r="CA44" s="6">
        <f t="shared" si="15"/>
        <v>0.52305649933975962</v>
      </c>
      <c r="CB44" s="6">
        <f t="shared" si="15"/>
        <v>0.52348433598989241</v>
      </c>
      <c r="CC44" s="6">
        <f t="shared" si="15"/>
        <v>0.52360160483419294</v>
      </c>
      <c r="CD44" s="6">
        <f t="shared" si="15"/>
        <v>0.52363375707534621</v>
      </c>
      <c r="CE44" s="6">
        <f t="shared" si="15"/>
        <v>0.52364257312109652</v>
      </c>
      <c r="CF44" s="6">
        <f t="shared" si="15"/>
        <v>0.5236449905056163</v>
      </c>
      <c r="CG44" s="6">
        <f t="shared" si="15"/>
        <v>0.52364565336314417</v>
      </c>
      <c r="CH44" s="6">
        <f t="shared" si="15"/>
        <v>0.52364583512190344</v>
      </c>
      <c r="CI44" s="6">
        <f t="shared" si="15"/>
        <v>0.52364588496106157</v>
      </c>
      <c r="CJ44" s="6">
        <f t="shared" si="15"/>
        <v>0.52364589862720901</v>
      </c>
      <c r="CK44" s="6">
        <f t="shared" si="15"/>
        <v>0.52364590237453534</v>
      </c>
      <c r="CL44" s="6">
        <f t="shared" si="15"/>
        <v>0.52364590340207107</v>
      </c>
      <c r="CM44" s="6">
        <f t="shared" si="15"/>
        <v>0.52364590368382657</v>
      </c>
      <c r="CN44" s="6">
        <f t="shared" si="15"/>
        <v>0.52364590376108522</v>
      </c>
      <c r="CO44" s="6">
        <f t="shared" si="15"/>
        <v>0.52364590378227005</v>
      </c>
      <c r="CP44" s="6">
        <f t="shared" si="15"/>
        <v>0.52364590378807896</v>
      </c>
      <c r="CQ44" s="6">
        <f t="shared" si="15"/>
        <v>0.5236459037896718</v>
      </c>
      <c r="CR44" s="6">
        <f t="shared" si="15"/>
        <v>0.52364590379010867</v>
      </c>
      <c r="CS44" s="6">
        <f t="shared" si="15"/>
        <v>0.52364590379022846</v>
      </c>
      <c r="CT44" s="6">
        <f t="shared" si="15"/>
        <v>0.52364590379026121</v>
      </c>
      <c r="CU44" s="6">
        <f t="shared" si="15"/>
        <v>0.52364590379027021</v>
      </c>
      <c r="CV44" s="6">
        <f t="shared" si="15"/>
        <v>0.52364590379027265</v>
      </c>
      <c r="CW44" s="6">
        <f t="shared" si="15"/>
        <v>0.52364590379027331</v>
      </c>
      <c r="CX44" s="6">
        <f t="shared" si="15"/>
        <v>0.52364590379027354</v>
      </c>
      <c r="CY44" s="6">
        <f t="shared" si="15"/>
        <v>0.52364590379027354</v>
      </c>
      <c r="CZ44" s="6">
        <f t="shared" si="16"/>
        <v>100</v>
      </c>
      <c r="DB44" s="24"/>
      <c r="DC44" s="4">
        <v>8.3333333333333343E-2</v>
      </c>
      <c r="DD44" s="6">
        <f t="shared" si="17"/>
        <v>300</v>
      </c>
      <c r="DE44" s="6">
        <f t="shared" si="18"/>
        <v>123.28767123287672</v>
      </c>
      <c r="DF44" s="6">
        <f t="shared" si="9"/>
        <v>60.961842402348154</v>
      </c>
      <c r="DG44" s="6">
        <f t="shared" si="9"/>
        <v>31.442024400563621</v>
      </c>
      <c r="DH44" s="6">
        <f t="shared" si="9"/>
        <v>16.396826411117285</v>
      </c>
      <c r="DI44" s="6">
        <f t="shared" si="9"/>
        <v>8.5764666228807211</v>
      </c>
      <c r="DJ44" s="6">
        <f t="shared" si="9"/>
        <v>4.4896459352181886</v>
      </c>
      <c r="DK44" s="6">
        <f t="shared" si="9"/>
        <v>2.3507858168175546</v>
      </c>
      <c r="DL44" s="6">
        <f t="shared" si="9"/>
        <v>1.2309508093396129</v>
      </c>
      <c r="DM44" s="6">
        <f t="shared" si="9"/>
        <v>0.64457824918809103</v>
      </c>
      <c r="DN44" s="6">
        <f t="shared" si="9"/>
        <v>0.33753017117622475</v>
      </c>
      <c r="DO44" s="6">
        <f t="shared" si="9"/>
        <v>0.17674620701534813</v>
      </c>
      <c r="DP44" s="6">
        <f t="shared" si="9"/>
        <v>9.2552415177180797E-2</v>
      </c>
      <c r="DQ44" s="6">
        <f t="shared" si="9"/>
        <v>4.8464691350738429E-2</v>
      </c>
      <c r="DR44" s="6">
        <f t="shared" si="9"/>
        <v>2.5378336854047744E-2</v>
      </c>
      <c r="DS44" s="6">
        <f t="shared" si="9"/>
        <v>1.3289262102702756E-2</v>
      </c>
      <c r="DT44" s="6">
        <f t="shared" si="9"/>
        <v>6.9588676593166912E-3</v>
      </c>
      <c r="DU44" s="6">
        <f t="shared" si="9"/>
        <v>3.6439825440790436E-3</v>
      </c>
      <c r="DV44" s="6">
        <f t="shared" si="9"/>
        <v>1.9081565325838894E-3</v>
      </c>
      <c r="DW44" s="6">
        <f t="shared" si="9"/>
        <v>9.9919835206293325E-4</v>
      </c>
      <c r="DX44" s="6">
        <f t="shared" si="9"/>
        <v>5.2322612412955387E-4</v>
      </c>
      <c r="DY44" s="6">
        <f t="shared" si="9"/>
        <v>2.7398521665618727E-4</v>
      </c>
      <c r="DZ44" s="6">
        <f t="shared" si="9"/>
        <v>1.434712364010579E-4</v>
      </c>
      <c r="EA44" s="6">
        <f t="shared" si="9"/>
        <v>7.5128125253133484E-5</v>
      </c>
      <c r="EB44" s="6">
        <f t="shared" si="9"/>
        <v>3.9340535048245028E-5</v>
      </c>
      <c r="EC44" s="6">
        <f t="shared" si="9"/>
        <v>2.0600510030931069E-5</v>
      </c>
      <c r="ED44" s="6">
        <f t="shared" si="9"/>
        <v>1.0787372693687478E-5</v>
      </c>
      <c r="EE44" s="6">
        <f t="shared" si="9"/>
        <v>5.6487635237084939E-6</v>
      </c>
      <c r="EF44" s="6">
        <f t="shared" si="9"/>
        <v>2.9579518806698644E-6</v>
      </c>
      <c r="EG44" s="6">
        <f t="shared" si="9"/>
        <v>1.5489193859215107E-6</v>
      </c>
      <c r="EH44" s="6">
        <f t="shared" si="9"/>
        <v>22.691323308663819</v>
      </c>
    </row>
    <row r="45" spans="5:138">
      <c r="E45" s="26"/>
      <c r="F45" s="4">
        <v>0.08</v>
      </c>
      <c r="G45">
        <f t="shared" si="10"/>
        <v>300</v>
      </c>
      <c r="H45">
        <f t="shared" si="11"/>
        <v>157.09377165338856</v>
      </c>
      <c r="I45">
        <f t="shared" si="6"/>
        <v>82.261511023245447</v>
      </c>
      <c r="J45">
        <f t="shared" si="6"/>
        <v>43.075905169842066</v>
      </c>
      <c r="K45">
        <f t="shared" si="6"/>
        <v>22.556524890036922</v>
      </c>
      <c r="L45">
        <f t="shared" si="6"/>
        <v>11.811638729247784</v>
      </c>
      <c r="M45">
        <f t="shared" si="6"/>
        <v>6.1851293511326899</v>
      </c>
      <c r="N45">
        <f t="shared" si="6"/>
        <v>3.2388426918417639</v>
      </c>
      <c r="O45">
        <f t="shared" si="6"/>
        <v>1.6960545323489358</v>
      </c>
      <c r="P45">
        <f t="shared" si="6"/>
        <v>0.8882233368739797</v>
      </c>
      <c r="Q45">
        <f t="shared" si="6"/>
        <v>0.46528892071108163</v>
      </c>
      <c r="R45">
        <f t="shared" si="6"/>
        <v>0.24397970352298565</v>
      </c>
      <c r="S45">
        <f t="shared" si="6"/>
        <v>0.12839502452818344</v>
      </c>
      <c r="T45">
        <f t="shared" si="6"/>
        <v>6.8448189495594031E-2</v>
      </c>
      <c r="U45">
        <f t="shared" si="6"/>
        <v>3.8162236577762049E-2</v>
      </c>
      <c r="V45">
        <f t="shared" si="6"/>
        <v>2.4413252843626963E-2</v>
      </c>
      <c r="W45">
        <f t="shared" si="6"/>
        <v>2.1243345341730224E-2</v>
      </c>
      <c r="X45">
        <f t="shared" si="6"/>
        <v>2.7278887487916587E-2</v>
      </c>
      <c r="Y45">
        <f t="shared" si="6"/>
        <v>4.5135280878866799E-2</v>
      </c>
      <c r="Z45">
        <f t="shared" si="6"/>
        <v>8.2550295983992647E-2</v>
      </c>
      <c r="AA45">
        <f t="shared" si="6"/>
        <v>0.1557371060155153</v>
      </c>
      <c r="AB45">
        <f t="shared" si="6"/>
        <v>0.29640999532042794</v>
      </c>
      <c r="AC45">
        <f t="shared" si="6"/>
        <v>0.56552721593085942</v>
      </c>
      <c r="AD45">
        <f t="shared" si="6"/>
        <v>1.0797062301113298</v>
      </c>
      <c r="AE45">
        <f t="shared" si="6"/>
        <v>2.0617579440067098</v>
      </c>
      <c r="AF45">
        <f t="shared" si="6"/>
        <v>3.937238100304997</v>
      </c>
      <c r="AG45">
        <f t="shared" si="6"/>
        <v>7.5188547667354504</v>
      </c>
      <c r="AH45">
        <f t="shared" si="6"/>
        <v>14.358641832084601</v>
      </c>
      <c r="AI45">
        <f t="shared" si="12"/>
        <v>27.420507024670414</v>
      </c>
      <c r="AJ45">
        <f t="shared" si="12"/>
        <v>52.364591927946741</v>
      </c>
      <c r="AK45">
        <f t="shared" si="13"/>
        <v>100</v>
      </c>
      <c r="AL45" s="24"/>
      <c r="AM45" s="4">
        <v>0.08</v>
      </c>
      <c r="AN45" s="15">
        <f t="shared" si="14"/>
        <v>-538200000</v>
      </c>
      <c r="AO45" s="15">
        <f t="shared" si="14"/>
        <v>0</v>
      </c>
      <c r="AP45" s="15">
        <f t="shared" si="7"/>
        <v>0</v>
      </c>
      <c r="AQ45" s="15">
        <f t="shared" si="7"/>
        <v>0</v>
      </c>
      <c r="AR45" s="15">
        <f t="shared" si="7"/>
        <v>0</v>
      </c>
      <c r="AS45" s="15">
        <f t="shared" si="7"/>
        <v>0</v>
      </c>
      <c r="AT45" s="15">
        <f t="shared" si="7"/>
        <v>0</v>
      </c>
      <c r="AU45" s="15">
        <f t="shared" si="7"/>
        <v>0</v>
      </c>
      <c r="AV45" s="15">
        <f t="shared" si="7"/>
        <v>0</v>
      </c>
      <c r="AW45" s="15">
        <f t="shared" si="7"/>
        <v>0</v>
      </c>
      <c r="AX45" s="15">
        <f t="shared" si="7"/>
        <v>0</v>
      </c>
      <c r="AY45" s="15">
        <f t="shared" si="7"/>
        <v>0</v>
      </c>
      <c r="AZ45" s="15">
        <f t="shared" si="7"/>
        <v>0</v>
      </c>
      <c r="BA45" s="15">
        <f t="shared" si="7"/>
        <v>0</v>
      </c>
      <c r="BB45" s="15">
        <f t="shared" si="7"/>
        <v>0</v>
      </c>
      <c r="BC45" s="15">
        <f t="shared" si="7"/>
        <v>0</v>
      </c>
      <c r="BD45" s="15">
        <f t="shared" si="7"/>
        <v>0</v>
      </c>
      <c r="BE45" s="15">
        <f t="shared" si="7"/>
        <v>0</v>
      </c>
      <c r="BF45" s="15">
        <f t="shared" si="7"/>
        <v>0</v>
      </c>
      <c r="BG45" s="15">
        <f t="shared" si="7"/>
        <v>0</v>
      </c>
      <c r="BH45" s="15">
        <f t="shared" si="7"/>
        <v>0</v>
      </c>
      <c r="BI45" s="15">
        <f t="shared" si="7"/>
        <v>0</v>
      </c>
      <c r="BJ45" s="15">
        <f t="shared" si="7"/>
        <v>0</v>
      </c>
      <c r="BK45" s="15">
        <f t="shared" si="7"/>
        <v>0</v>
      </c>
      <c r="BL45" s="15">
        <f t="shared" si="7"/>
        <v>0</v>
      </c>
      <c r="BM45" s="15">
        <f t="shared" si="7"/>
        <v>0</v>
      </c>
      <c r="BN45" s="15">
        <f t="shared" si="7"/>
        <v>0</v>
      </c>
      <c r="BO45" s="15">
        <f t="shared" si="7"/>
        <v>0</v>
      </c>
      <c r="BP45" s="15">
        <f t="shared" si="7"/>
        <v>0</v>
      </c>
      <c r="BQ45" s="15">
        <f t="shared" si="7"/>
        <v>0</v>
      </c>
      <c r="BR45" s="15">
        <f t="shared" si="7"/>
        <v>-179400000</v>
      </c>
      <c r="BT45" s="24"/>
      <c r="BU45" s="4">
        <v>0.08</v>
      </c>
      <c r="BV45" s="6">
        <v>0</v>
      </c>
      <c r="BW45" s="6">
        <f t="shared" si="15"/>
        <v>0.41095890410958902</v>
      </c>
      <c r="BX45" s="6">
        <f t="shared" si="15"/>
        <v>0.49446827726349057</v>
      </c>
      <c r="BY45" s="6">
        <f t="shared" si="15"/>
        <v>0.51576565211146774</v>
      </c>
      <c r="BZ45" s="6">
        <f t="shared" si="15"/>
        <v>0.52149397895713612</v>
      </c>
      <c r="CA45" s="6">
        <f t="shared" si="15"/>
        <v>0.52305649933975962</v>
      </c>
      <c r="CB45" s="6">
        <f t="shared" si="15"/>
        <v>0.52348433598989241</v>
      </c>
      <c r="CC45" s="6">
        <f t="shared" si="15"/>
        <v>0.52360160483419294</v>
      </c>
      <c r="CD45" s="6">
        <f t="shared" si="15"/>
        <v>0.52363375707534621</v>
      </c>
      <c r="CE45" s="6">
        <f t="shared" si="15"/>
        <v>0.52364257312109652</v>
      </c>
      <c r="CF45" s="6">
        <f t="shared" si="15"/>
        <v>0.5236449905056163</v>
      </c>
      <c r="CG45" s="6">
        <f t="shared" si="15"/>
        <v>0.52364565336314417</v>
      </c>
      <c r="CH45" s="6">
        <f t="shared" si="15"/>
        <v>0.52364583512190344</v>
      </c>
      <c r="CI45" s="6">
        <f t="shared" si="15"/>
        <v>0.52364588496106157</v>
      </c>
      <c r="CJ45" s="6">
        <f t="shared" si="15"/>
        <v>0.52364589862720901</v>
      </c>
      <c r="CK45" s="6">
        <f t="shared" si="15"/>
        <v>0.52364590237453534</v>
      </c>
      <c r="CL45" s="6">
        <f t="shared" si="15"/>
        <v>0.52364590340207107</v>
      </c>
      <c r="CM45" s="6">
        <f t="shared" si="15"/>
        <v>0.52364590368382657</v>
      </c>
      <c r="CN45" s="6">
        <f t="shared" si="15"/>
        <v>0.52364590376108522</v>
      </c>
      <c r="CO45" s="6">
        <f t="shared" si="15"/>
        <v>0.52364590378227005</v>
      </c>
      <c r="CP45" s="6">
        <f t="shared" si="15"/>
        <v>0.52364590378807896</v>
      </c>
      <c r="CQ45" s="6">
        <f t="shared" si="15"/>
        <v>0.5236459037896718</v>
      </c>
      <c r="CR45" s="6">
        <f t="shared" si="15"/>
        <v>0.52364590379010867</v>
      </c>
      <c r="CS45" s="6">
        <f t="shared" si="15"/>
        <v>0.52364590379022846</v>
      </c>
      <c r="CT45" s="6">
        <f t="shared" si="15"/>
        <v>0.52364590379026121</v>
      </c>
      <c r="CU45" s="6">
        <f t="shared" si="15"/>
        <v>0.52364590379027021</v>
      </c>
      <c r="CV45" s="6">
        <f t="shared" si="15"/>
        <v>0.52364590379027265</v>
      </c>
      <c r="CW45" s="6">
        <f t="shared" si="15"/>
        <v>0.52364590379027331</v>
      </c>
      <c r="CX45" s="6">
        <f t="shared" si="15"/>
        <v>0.52364590379027354</v>
      </c>
      <c r="CY45" s="6">
        <f t="shared" si="15"/>
        <v>0.52364590379027354</v>
      </c>
      <c r="CZ45" s="6">
        <f t="shared" si="16"/>
        <v>100</v>
      </c>
      <c r="DB45" s="24"/>
      <c r="DC45" s="4">
        <v>0.08</v>
      </c>
      <c r="DD45" s="6">
        <f t="shared" si="17"/>
        <v>300</v>
      </c>
      <c r="DE45" s="6">
        <f t="shared" si="18"/>
        <v>123.28767123287672</v>
      </c>
      <c r="DF45" s="6">
        <f t="shared" si="9"/>
        <v>60.961842402348154</v>
      </c>
      <c r="DG45" s="6">
        <f t="shared" si="9"/>
        <v>31.442024400563621</v>
      </c>
      <c r="DH45" s="6">
        <f t="shared" si="9"/>
        <v>16.396826411117285</v>
      </c>
      <c r="DI45" s="6">
        <f t="shared" si="9"/>
        <v>8.5764666228807211</v>
      </c>
      <c r="DJ45" s="6">
        <f t="shared" si="9"/>
        <v>4.4896459352181886</v>
      </c>
      <c r="DK45" s="6">
        <f t="shared" si="9"/>
        <v>2.3507858168175546</v>
      </c>
      <c r="DL45" s="6">
        <f t="shared" si="9"/>
        <v>1.2309508093396129</v>
      </c>
      <c r="DM45" s="6">
        <f t="shared" si="9"/>
        <v>0.64457824918809103</v>
      </c>
      <c r="DN45" s="6">
        <f t="shared" si="9"/>
        <v>0.33753017117622475</v>
      </c>
      <c r="DO45" s="6">
        <f t="shared" si="9"/>
        <v>0.17674620701534813</v>
      </c>
      <c r="DP45" s="6">
        <f t="shared" si="9"/>
        <v>9.2552415177180797E-2</v>
      </c>
      <c r="DQ45" s="6">
        <f t="shared" si="9"/>
        <v>4.8464691350738429E-2</v>
      </c>
      <c r="DR45" s="6">
        <f t="shared" si="9"/>
        <v>2.5378336854047744E-2</v>
      </c>
      <c r="DS45" s="6">
        <f t="shared" si="9"/>
        <v>1.3289262102702756E-2</v>
      </c>
      <c r="DT45" s="6">
        <f t="shared" si="9"/>
        <v>6.9588676593166912E-3</v>
      </c>
      <c r="DU45" s="6">
        <f t="shared" si="9"/>
        <v>3.6439825440790436E-3</v>
      </c>
      <c r="DV45" s="6">
        <f t="shared" si="9"/>
        <v>1.9081565325838894E-3</v>
      </c>
      <c r="DW45" s="6">
        <f t="shared" si="9"/>
        <v>9.9919835206293325E-4</v>
      </c>
      <c r="DX45" s="6">
        <f t="shared" si="9"/>
        <v>5.2322612412955387E-4</v>
      </c>
      <c r="DY45" s="6">
        <f t="shared" si="9"/>
        <v>2.7398521665618727E-4</v>
      </c>
      <c r="DZ45" s="6">
        <f t="shared" si="9"/>
        <v>1.434712364010579E-4</v>
      </c>
      <c r="EA45" s="6">
        <f t="shared" si="9"/>
        <v>7.5128125253133484E-5</v>
      </c>
      <c r="EB45" s="6">
        <f t="shared" si="9"/>
        <v>3.9340535048245028E-5</v>
      </c>
      <c r="EC45" s="6">
        <f t="shared" si="9"/>
        <v>2.0600510030931069E-5</v>
      </c>
      <c r="ED45" s="6">
        <f t="shared" si="9"/>
        <v>1.0787372693687478E-5</v>
      </c>
      <c r="EE45" s="6">
        <f t="shared" si="9"/>
        <v>5.6487635237084939E-6</v>
      </c>
      <c r="EF45" s="6">
        <f t="shared" si="9"/>
        <v>2.9579518806698644E-6</v>
      </c>
      <c r="EG45" s="6">
        <f t="shared" si="9"/>
        <v>1.5489193859215107E-6</v>
      </c>
      <c r="EH45" s="6">
        <f t="shared" si="9"/>
        <v>22.691323308663819</v>
      </c>
    </row>
    <row r="46" spans="5:138">
      <c r="E46" s="26"/>
      <c r="F46" s="4">
        <v>7.6666666666666675E-2</v>
      </c>
      <c r="G46">
        <f t="shared" si="10"/>
        <v>300</v>
      </c>
      <c r="H46">
        <f t="shared" si="11"/>
        <v>157.09377165338856</v>
      </c>
      <c r="I46">
        <f t="shared" si="6"/>
        <v>82.261511023245447</v>
      </c>
      <c r="J46">
        <f t="shared" si="6"/>
        <v>43.075905169842066</v>
      </c>
      <c r="K46">
        <f t="shared" si="6"/>
        <v>22.556524890036922</v>
      </c>
      <c r="L46">
        <f t="shared" si="6"/>
        <v>11.811638729247784</v>
      </c>
      <c r="M46">
        <f t="shared" si="6"/>
        <v>6.1851293511326899</v>
      </c>
      <c r="N46">
        <f t="shared" si="6"/>
        <v>3.2388426918417639</v>
      </c>
      <c r="O46">
        <f t="shared" si="6"/>
        <v>1.6960545323489358</v>
      </c>
      <c r="P46">
        <f t="shared" si="6"/>
        <v>0.8882233368739797</v>
      </c>
      <c r="Q46">
        <f t="shared" si="6"/>
        <v>0.46528892071108163</v>
      </c>
      <c r="R46">
        <f t="shared" si="6"/>
        <v>0.24397970352298565</v>
      </c>
      <c r="S46">
        <f t="shared" si="6"/>
        <v>0.12839502452818344</v>
      </c>
      <c r="T46">
        <f t="shared" si="6"/>
        <v>6.8448189495594031E-2</v>
      </c>
      <c r="U46">
        <f t="shared" si="6"/>
        <v>3.8162236577762049E-2</v>
      </c>
      <c r="V46">
        <f t="shared" si="6"/>
        <v>2.4413252843626963E-2</v>
      </c>
      <c r="W46">
        <f t="shared" si="6"/>
        <v>2.1243345341730224E-2</v>
      </c>
      <c r="X46">
        <f t="shared" si="6"/>
        <v>2.7278887487916587E-2</v>
      </c>
      <c r="Y46">
        <f t="shared" si="6"/>
        <v>4.5135280878866799E-2</v>
      </c>
      <c r="Z46">
        <f t="shared" si="6"/>
        <v>8.2550295983992647E-2</v>
      </c>
      <c r="AA46">
        <f t="shared" si="6"/>
        <v>0.1557371060155153</v>
      </c>
      <c r="AB46">
        <f t="shared" si="6"/>
        <v>0.29640999532042794</v>
      </c>
      <c r="AC46">
        <f t="shared" si="6"/>
        <v>0.56552721593085942</v>
      </c>
      <c r="AD46">
        <f t="shared" si="6"/>
        <v>1.0797062301113298</v>
      </c>
      <c r="AE46">
        <f t="shared" si="6"/>
        <v>2.0617579440067098</v>
      </c>
      <c r="AF46">
        <f t="shared" si="6"/>
        <v>3.937238100304997</v>
      </c>
      <c r="AG46">
        <f t="shared" si="6"/>
        <v>7.5188547667354504</v>
      </c>
      <c r="AH46">
        <f t="shared" si="6"/>
        <v>14.358641832084601</v>
      </c>
      <c r="AI46">
        <f t="shared" si="12"/>
        <v>27.420507024670414</v>
      </c>
      <c r="AJ46">
        <f t="shared" si="12"/>
        <v>52.364591927946741</v>
      </c>
      <c r="AK46">
        <f t="shared" si="13"/>
        <v>100</v>
      </c>
      <c r="AL46" s="24"/>
      <c r="AM46" s="4">
        <v>7.6666666666666675E-2</v>
      </c>
      <c r="AN46" s="15">
        <f t="shared" si="14"/>
        <v>-538200000</v>
      </c>
      <c r="AO46" s="15">
        <f t="shared" si="14"/>
        <v>0</v>
      </c>
      <c r="AP46" s="15">
        <f t="shared" si="7"/>
        <v>0</v>
      </c>
      <c r="AQ46" s="15">
        <f t="shared" si="7"/>
        <v>0</v>
      </c>
      <c r="AR46" s="15">
        <f t="shared" si="7"/>
        <v>0</v>
      </c>
      <c r="AS46" s="15">
        <f t="shared" si="7"/>
        <v>0</v>
      </c>
      <c r="AT46" s="15">
        <f t="shared" si="7"/>
        <v>0</v>
      </c>
      <c r="AU46" s="15">
        <f t="shared" si="7"/>
        <v>0</v>
      </c>
      <c r="AV46" s="15">
        <f t="shared" si="7"/>
        <v>0</v>
      </c>
      <c r="AW46" s="15">
        <f t="shared" si="7"/>
        <v>0</v>
      </c>
      <c r="AX46" s="15">
        <f t="shared" si="7"/>
        <v>0</v>
      </c>
      <c r="AY46" s="15">
        <f t="shared" si="7"/>
        <v>0</v>
      </c>
      <c r="AZ46" s="15">
        <f t="shared" si="7"/>
        <v>0</v>
      </c>
      <c r="BA46" s="15">
        <f t="shared" si="7"/>
        <v>0</v>
      </c>
      <c r="BB46" s="15">
        <f t="shared" si="7"/>
        <v>0</v>
      </c>
      <c r="BC46" s="15">
        <f t="shared" si="7"/>
        <v>0</v>
      </c>
      <c r="BD46" s="15">
        <f t="shared" si="7"/>
        <v>0</v>
      </c>
      <c r="BE46" s="15">
        <f t="shared" si="7"/>
        <v>0</v>
      </c>
      <c r="BF46" s="15">
        <f t="shared" si="7"/>
        <v>0</v>
      </c>
      <c r="BG46" s="15">
        <f t="shared" si="7"/>
        <v>0</v>
      </c>
      <c r="BH46" s="15">
        <f t="shared" si="7"/>
        <v>0</v>
      </c>
      <c r="BI46" s="15">
        <f t="shared" si="7"/>
        <v>0</v>
      </c>
      <c r="BJ46" s="15">
        <f t="shared" si="7"/>
        <v>0</v>
      </c>
      <c r="BK46" s="15">
        <f t="shared" si="7"/>
        <v>0</v>
      </c>
      <c r="BL46" s="15">
        <f t="shared" si="7"/>
        <v>0</v>
      </c>
      <c r="BM46" s="15">
        <f t="shared" si="7"/>
        <v>0</v>
      </c>
      <c r="BN46" s="15">
        <f t="shared" si="7"/>
        <v>0</v>
      </c>
      <c r="BO46" s="15">
        <f t="shared" si="7"/>
        <v>0</v>
      </c>
      <c r="BP46" s="15">
        <f t="shared" si="7"/>
        <v>0</v>
      </c>
      <c r="BQ46" s="15">
        <f t="shared" si="7"/>
        <v>0</v>
      </c>
      <c r="BR46" s="15">
        <f t="shared" si="7"/>
        <v>-179400000</v>
      </c>
      <c r="BT46" s="24"/>
      <c r="BU46" s="4">
        <v>7.6666666666666675E-2</v>
      </c>
      <c r="BV46" s="6">
        <v>0</v>
      </c>
      <c r="BW46" s="6">
        <f t="shared" si="15"/>
        <v>0.41095890410958902</v>
      </c>
      <c r="BX46" s="6">
        <f t="shared" si="15"/>
        <v>0.49446827726349057</v>
      </c>
      <c r="BY46" s="6">
        <f t="shared" si="15"/>
        <v>0.51576565211146774</v>
      </c>
      <c r="BZ46" s="6">
        <f t="shared" si="15"/>
        <v>0.52149397895713612</v>
      </c>
      <c r="CA46" s="6">
        <f t="shared" si="15"/>
        <v>0.52305649933975962</v>
      </c>
      <c r="CB46" s="6">
        <f t="shared" si="15"/>
        <v>0.52348433598989241</v>
      </c>
      <c r="CC46" s="6">
        <f t="shared" si="15"/>
        <v>0.52360160483419294</v>
      </c>
      <c r="CD46" s="6">
        <f t="shared" si="15"/>
        <v>0.52363375707534621</v>
      </c>
      <c r="CE46" s="6">
        <f t="shared" si="15"/>
        <v>0.52364257312109652</v>
      </c>
      <c r="CF46" s="6">
        <f t="shared" si="15"/>
        <v>0.5236449905056163</v>
      </c>
      <c r="CG46" s="6">
        <f t="shared" si="15"/>
        <v>0.52364565336314417</v>
      </c>
      <c r="CH46" s="6">
        <f t="shared" si="15"/>
        <v>0.52364583512190344</v>
      </c>
      <c r="CI46" s="6">
        <f t="shared" si="15"/>
        <v>0.52364588496106157</v>
      </c>
      <c r="CJ46" s="6">
        <f t="shared" si="15"/>
        <v>0.52364589862720901</v>
      </c>
      <c r="CK46" s="6">
        <f t="shared" si="15"/>
        <v>0.52364590237453534</v>
      </c>
      <c r="CL46" s="6">
        <f t="shared" si="15"/>
        <v>0.52364590340207107</v>
      </c>
      <c r="CM46" s="6">
        <f t="shared" si="15"/>
        <v>0.52364590368382657</v>
      </c>
      <c r="CN46" s="6">
        <f t="shared" si="15"/>
        <v>0.52364590376108522</v>
      </c>
      <c r="CO46" s="6">
        <f t="shared" si="15"/>
        <v>0.52364590378227005</v>
      </c>
      <c r="CP46" s="6">
        <f t="shared" si="15"/>
        <v>0.52364590378807896</v>
      </c>
      <c r="CQ46" s="6">
        <f t="shared" si="15"/>
        <v>0.5236459037896718</v>
      </c>
      <c r="CR46" s="6">
        <f t="shared" si="15"/>
        <v>0.52364590379010867</v>
      </c>
      <c r="CS46" s="6">
        <f t="shared" si="15"/>
        <v>0.52364590379022846</v>
      </c>
      <c r="CT46" s="6">
        <f t="shared" si="15"/>
        <v>0.52364590379026121</v>
      </c>
      <c r="CU46" s="6">
        <f t="shared" si="15"/>
        <v>0.52364590379027021</v>
      </c>
      <c r="CV46" s="6">
        <f t="shared" si="15"/>
        <v>0.52364590379027265</v>
      </c>
      <c r="CW46" s="6">
        <f t="shared" si="15"/>
        <v>0.52364590379027331</v>
      </c>
      <c r="CX46" s="6">
        <f t="shared" si="15"/>
        <v>0.52364590379027354</v>
      </c>
      <c r="CY46" s="6">
        <f t="shared" si="15"/>
        <v>0.52364590379027354</v>
      </c>
      <c r="CZ46" s="6">
        <f t="shared" si="16"/>
        <v>100</v>
      </c>
      <c r="DB46" s="24"/>
      <c r="DC46" s="4">
        <v>7.6666666666666675E-2</v>
      </c>
      <c r="DD46" s="6">
        <f t="shared" si="17"/>
        <v>300</v>
      </c>
      <c r="DE46" s="6">
        <f t="shared" si="18"/>
        <v>123.28767123287672</v>
      </c>
      <c r="DF46" s="6">
        <f t="shared" si="9"/>
        <v>60.961842402348154</v>
      </c>
      <c r="DG46" s="6">
        <f t="shared" si="9"/>
        <v>31.442024400563621</v>
      </c>
      <c r="DH46" s="6">
        <f t="shared" si="9"/>
        <v>16.396826411117285</v>
      </c>
      <c r="DI46" s="6">
        <f t="shared" si="9"/>
        <v>8.5764666228807211</v>
      </c>
      <c r="DJ46" s="6">
        <f t="shared" si="9"/>
        <v>4.4896459352181886</v>
      </c>
      <c r="DK46" s="6">
        <f t="shared" si="9"/>
        <v>2.3507858168175546</v>
      </c>
      <c r="DL46" s="6">
        <f t="shared" si="9"/>
        <v>1.2309508093396129</v>
      </c>
      <c r="DM46" s="6">
        <f t="shared" si="9"/>
        <v>0.64457824918809103</v>
      </c>
      <c r="DN46" s="6">
        <f t="shared" si="9"/>
        <v>0.33753017117622475</v>
      </c>
      <c r="DO46" s="6">
        <f t="shared" si="9"/>
        <v>0.17674620701534813</v>
      </c>
      <c r="DP46" s="6">
        <f t="shared" si="9"/>
        <v>9.2552415177180797E-2</v>
      </c>
      <c r="DQ46" s="6">
        <f t="shared" si="9"/>
        <v>4.8464691350738429E-2</v>
      </c>
      <c r="DR46" s="6">
        <f t="shared" si="9"/>
        <v>2.5378336854047744E-2</v>
      </c>
      <c r="DS46" s="6">
        <f t="shared" si="9"/>
        <v>1.3289262102702756E-2</v>
      </c>
      <c r="DT46" s="6">
        <f t="shared" si="9"/>
        <v>6.9588676593166912E-3</v>
      </c>
      <c r="DU46" s="6">
        <f t="shared" si="9"/>
        <v>3.6439825440790436E-3</v>
      </c>
      <c r="DV46" s="6">
        <f t="shared" si="9"/>
        <v>1.9081565325838894E-3</v>
      </c>
      <c r="DW46" s="6">
        <f t="shared" si="9"/>
        <v>9.9919835206293325E-4</v>
      </c>
      <c r="DX46" s="6">
        <f t="shared" si="9"/>
        <v>5.2322612412955387E-4</v>
      </c>
      <c r="DY46" s="6">
        <f t="shared" si="9"/>
        <v>2.7398521665618727E-4</v>
      </c>
      <c r="DZ46" s="6">
        <f t="shared" si="9"/>
        <v>1.434712364010579E-4</v>
      </c>
      <c r="EA46" s="6">
        <f t="shared" si="9"/>
        <v>7.5128125253133484E-5</v>
      </c>
      <c r="EB46" s="6">
        <f t="shared" si="9"/>
        <v>3.9340535048245028E-5</v>
      </c>
      <c r="EC46" s="6">
        <f t="shared" si="9"/>
        <v>2.0600510030931069E-5</v>
      </c>
      <c r="ED46" s="6">
        <f t="shared" si="9"/>
        <v>1.0787372693687478E-5</v>
      </c>
      <c r="EE46" s="6">
        <f t="shared" si="9"/>
        <v>5.6487635237084939E-6</v>
      </c>
      <c r="EF46" s="6">
        <f t="shared" si="9"/>
        <v>2.9579518806698644E-6</v>
      </c>
      <c r="EG46" s="6">
        <f t="shared" si="9"/>
        <v>1.5489193859215107E-6</v>
      </c>
      <c r="EH46" s="6">
        <f t="shared" si="9"/>
        <v>22.691323308663819</v>
      </c>
    </row>
    <row r="47" spans="5:138">
      <c r="E47" s="26"/>
      <c r="F47" s="4">
        <v>7.3333333333333334E-2</v>
      </c>
      <c r="G47">
        <f t="shared" si="10"/>
        <v>300</v>
      </c>
      <c r="H47">
        <f t="shared" si="11"/>
        <v>157.09377165338856</v>
      </c>
      <c r="I47">
        <f t="shared" si="6"/>
        <v>82.261511023245447</v>
      </c>
      <c r="J47">
        <f t="shared" si="6"/>
        <v>43.075905169842066</v>
      </c>
      <c r="K47">
        <f t="shared" si="6"/>
        <v>22.556524890036922</v>
      </c>
      <c r="L47">
        <f t="shared" si="6"/>
        <v>11.811638729247784</v>
      </c>
      <c r="M47">
        <f t="shared" si="6"/>
        <v>6.1851293511326899</v>
      </c>
      <c r="N47">
        <f t="shared" si="6"/>
        <v>3.2388426918417639</v>
      </c>
      <c r="O47">
        <f t="shared" si="6"/>
        <v>1.6960545323489358</v>
      </c>
      <c r="P47">
        <f t="shared" si="6"/>
        <v>0.8882233368739797</v>
      </c>
      <c r="Q47">
        <f t="shared" si="6"/>
        <v>0.46528892071108163</v>
      </c>
      <c r="R47">
        <f t="shared" si="6"/>
        <v>0.24397970352298565</v>
      </c>
      <c r="S47">
        <f t="shared" si="6"/>
        <v>0.12839502452818344</v>
      </c>
      <c r="T47">
        <f t="shared" si="6"/>
        <v>6.8448189495594031E-2</v>
      </c>
      <c r="U47">
        <f t="shared" si="6"/>
        <v>3.8162236577762049E-2</v>
      </c>
      <c r="V47">
        <f t="shared" si="6"/>
        <v>2.4413252843626963E-2</v>
      </c>
      <c r="W47">
        <f t="shared" si="6"/>
        <v>2.1243345341730224E-2</v>
      </c>
      <c r="X47">
        <f t="shared" si="6"/>
        <v>2.7278887487916587E-2</v>
      </c>
      <c r="Y47">
        <f t="shared" si="6"/>
        <v>4.5135280878866799E-2</v>
      </c>
      <c r="Z47">
        <f t="shared" si="6"/>
        <v>8.2550295983992647E-2</v>
      </c>
      <c r="AA47">
        <f t="shared" si="6"/>
        <v>0.1557371060155153</v>
      </c>
      <c r="AB47">
        <f t="shared" si="6"/>
        <v>0.29640999532042794</v>
      </c>
      <c r="AC47">
        <f t="shared" si="6"/>
        <v>0.56552721593085942</v>
      </c>
      <c r="AD47">
        <f t="shared" si="6"/>
        <v>1.0797062301113298</v>
      </c>
      <c r="AE47">
        <f t="shared" si="6"/>
        <v>2.0617579440067098</v>
      </c>
      <c r="AF47">
        <f t="shared" si="6"/>
        <v>3.937238100304997</v>
      </c>
      <c r="AG47">
        <f t="shared" si="6"/>
        <v>7.5188547667354504</v>
      </c>
      <c r="AH47">
        <f t="shared" si="6"/>
        <v>14.358641832084601</v>
      </c>
      <c r="AI47">
        <f t="shared" si="12"/>
        <v>27.420507024670414</v>
      </c>
      <c r="AJ47">
        <f t="shared" si="12"/>
        <v>52.364591927946741</v>
      </c>
      <c r="AK47">
        <f t="shared" si="13"/>
        <v>100</v>
      </c>
      <c r="AL47" s="24"/>
      <c r="AM47" s="4">
        <v>7.3333333333333334E-2</v>
      </c>
      <c r="AN47" s="15">
        <f t="shared" si="14"/>
        <v>-538200000</v>
      </c>
      <c r="AO47" s="15">
        <f t="shared" si="14"/>
        <v>0</v>
      </c>
      <c r="AP47" s="15">
        <f t="shared" si="7"/>
        <v>0</v>
      </c>
      <c r="AQ47" s="15">
        <f t="shared" si="7"/>
        <v>0</v>
      </c>
      <c r="AR47" s="15">
        <f t="shared" si="7"/>
        <v>0</v>
      </c>
      <c r="AS47" s="15">
        <f t="shared" si="7"/>
        <v>0</v>
      </c>
      <c r="AT47" s="15">
        <f t="shared" si="7"/>
        <v>0</v>
      </c>
      <c r="AU47" s="15">
        <f t="shared" si="7"/>
        <v>0</v>
      </c>
      <c r="AV47" s="15">
        <f t="shared" si="7"/>
        <v>0</v>
      </c>
      <c r="AW47" s="15">
        <f t="shared" si="7"/>
        <v>0</v>
      </c>
      <c r="AX47" s="15">
        <f t="shared" si="7"/>
        <v>0</v>
      </c>
      <c r="AY47" s="15">
        <f t="shared" si="7"/>
        <v>0</v>
      </c>
      <c r="AZ47" s="15">
        <f t="shared" si="7"/>
        <v>0</v>
      </c>
      <c r="BA47" s="15">
        <f t="shared" si="7"/>
        <v>0</v>
      </c>
      <c r="BB47" s="15">
        <f t="shared" si="7"/>
        <v>0</v>
      </c>
      <c r="BC47" s="15">
        <f t="shared" si="7"/>
        <v>0</v>
      </c>
      <c r="BD47" s="15">
        <f t="shared" si="7"/>
        <v>0</v>
      </c>
      <c r="BE47" s="15">
        <f t="shared" si="7"/>
        <v>0</v>
      </c>
      <c r="BF47" s="15">
        <f t="shared" si="7"/>
        <v>0</v>
      </c>
      <c r="BG47" s="15">
        <f t="shared" si="7"/>
        <v>0</v>
      </c>
      <c r="BH47" s="15">
        <f t="shared" si="7"/>
        <v>0</v>
      </c>
      <c r="BI47" s="15">
        <f t="shared" si="7"/>
        <v>0</v>
      </c>
      <c r="BJ47" s="15">
        <f t="shared" si="7"/>
        <v>0</v>
      </c>
      <c r="BK47" s="15">
        <f t="shared" si="7"/>
        <v>0</v>
      </c>
      <c r="BL47" s="15">
        <f t="shared" ref="BL47:BR69" si="19">-($B$12*$B$11)/$B$8*AE11</f>
        <v>0</v>
      </c>
      <c r="BM47" s="15">
        <f t="shared" si="19"/>
        <v>0</v>
      </c>
      <c r="BN47" s="15">
        <f t="shared" si="19"/>
        <v>0</v>
      </c>
      <c r="BO47" s="15">
        <f t="shared" si="19"/>
        <v>0</v>
      </c>
      <c r="BP47" s="15">
        <f t="shared" si="19"/>
        <v>0</v>
      </c>
      <c r="BQ47" s="15">
        <f t="shared" si="19"/>
        <v>0</v>
      </c>
      <c r="BR47" s="15">
        <f t="shared" si="19"/>
        <v>-179400000</v>
      </c>
      <c r="BT47" s="24"/>
      <c r="BU47" s="4">
        <v>7.3333333333333334E-2</v>
      </c>
      <c r="BV47" s="6">
        <v>0</v>
      </c>
      <c r="BW47" s="6">
        <f t="shared" si="15"/>
        <v>0.41095890410958902</v>
      </c>
      <c r="BX47" s="6">
        <f t="shared" si="15"/>
        <v>0.49446827726349057</v>
      </c>
      <c r="BY47" s="6">
        <f t="shared" si="15"/>
        <v>0.51576565211146774</v>
      </c>
      <c r="BZ47" s="6">
        <f t="shared" si="15"/>
        <v>0.52149397895713612</v>
      </c>
      <c r="CA47" s="6">
        <f t="shared" si="15"/>
        <v>0.52305649933975962</v>
      </c>
      <c r="CB47" s="6">
        <f t="shared" si="15"/>
        <v>0.52348433598989241</v>
      </c>
      <c r="CC47" s="6">
        <f t="shared" si="15"/>
        <v>0.52360160483419294</v>
      </c>
      <c r="CD47" s="6">
        <f t="shared" si="15"/>
        <v>0.52363375707534621</v>
      </c>
      <c r="CE47" s="6">
        <f t="shared" si="15"/>
        <v>0.52364257312109652</v>
      </c>
      <c r="CF47" s="6">
        <f t="shared" si="15"/>
        <v>0.5236449905056163</v>
      </c>
      <c r="CG47" s="6">
        <f t="shared" si="15"/>
        <v>0.52364565336314417</v>
      </c>
      <c r="CH47" s="6">
        <f t="shared" si="15"/>
        <v>0.52364583512190344</v>
      </c>
      <c r="CI47" s="6">
        <f t="shared" si="15"/>
        <v>0.52364588496106157</v>
      </c>
      <c r="CJ47" s="6">
        <f t="shared" si="15"/>
        <v>0.52364589862720901</v>
      </c>
      <c r="CK47" s="6">
        <f t="shared" si="15"/>
        <v>0.52364590237453534</v>
      </c>
      <c r="CL47" s="6">
        <f t="shared" si="15"/>
        <v>0.52364590340207107</v>
      </c>
      <c r="CM47" s="6">
        <f t="shared" si="15"/>
        <v>0.52364590368382657</v>
      </c>
      <c r="CN47" s="6">
        <f t="shared" si="15"/>
        <v>0.52364590376108522</v>
      </c>
      <c r="CO47" s="6">
        <f t="shared" si="15"/>
        <v>0.52364590378227005</v>
      </c>
      <c r="CP47" s="6">
        <f t="shared" si="15"/>
        <v>0.52364590378807896</v>
      </c>
      <c r="CQ47" s="6">
        <f t="shared" si="15"/>
        <v>0.5236459037896718</v>
      </c>
      <c r="CR47" s="6">
        <f t="shared" si="15"/>
        <v>0.52364590379010867</v>
      </c>
      <c r="CS47" s="6">
        <f t="shared" si="15"/>
        <v>0.52364590379022846</v>
      </c>
      <c r="CT47" s="6">
        <f t="shared" si="15"/>
        <v>0.52364590379026121</v>
      </c>
      <c r="CU47" s="6">
        <f t="shared" si="15"/>
        <v>0.52364590379027021</v>
      </c>
      <c r="CV47" s="6">
        <f t="shared" si="15"/>
        <v>0.52364590379027265</v>
      </c>
      <c r="CW47" s="6">
        <f t="shared" si="15"/>
        <v>0.52364590379027331</v>
      </c>
      <c r="CX47" s="6">
        <f t="shared" si="15"/>
        <v>0.52364590379027354</v>
      </c>
      <c r="CY47" s="6">
        <f t="shared" si="15"/>
        <v>0.52364590379027354</v>
      </c>
      <c r="CZ47" s="6">
        <f t="shared" si="16"/>
        <v>100</v>
      </c>
      <c r="DB47" s="24"/>
      <c r="DC47" s="4">
        <v>7.3333333333333334E-2</v>
      </c>
      <c r="DD47" s="6">
        <f t="shared" si="17"/>
        <v>300</v>
      </c>
      <c r="DE47" s="6">
        <f t="shared" si="18"/>
        <v>123.28767123287672</v>
      </c>
      <c r="DF47" s="6">
        <f t="shared" si="9"/>
        <v>60.961842402348154</v>
      </c>
      <c r="DG47" s="6">
        <f t="shared" si="9"/>
        <v>31.442024400563621</v>
      </c>
      <c r="DH47" s="6">
        <f t="shared" si="9"/>
        <v>16.396826411117285</v>
      </c>
      <c r="DI47" s="6">
        <f t="shared" si="9"/>
        <v>8.5764666228807211</v>
      </c>
      <c r="DJ47" s="6">
        <f t="shared" si="9"/>
        <v>4.4896459352181886</v>
      </c>
      <c r="DK47" s="6">
        <f t="shared" si="9"/>
        <v>2.3507858168175546</v>
      </c>
      <c r="DL47" s="6">
        <f t="shared" si="9"/>
        <v>1.2309508093396129</v>
      </c>
      <c r="DM47" s="6">
        <f t="shared" si="9"/>
        <v>0.64457824918809103</v>
      </c>
      <c r="DN47" s="6">
        <f t="shared" si="9"/>
        <v>0.33753017117622475</v>
      </c>
      <c r="DO47" s="6">
        <f t="shared" si="9"/>
        <v>0.17674620701534813</v>
      </c>
      <c r="DP47" s="6">
        <f t="shared" si="9"/>
        <v>9.2552415177180797E-2</v>
      </c>
      <c r="DQ47" s="6">
        <f t="shared" si="9"/>
        <v>4.8464691350738429E-2</v>
      </c>
      <c r="DR47" s="6">
        <f t="shared" si="9"/>
        <v>2.5378336854047744E-2</v>
      </c>
      <c r="DS47" s="6">
        <f t="shared" si="9"/>
        <v>1.3289262102702756E-2</v>
      </c>
      <c r="DT47" s="6">
        <f t="shared" si="9"/>
        <v>6.9588676593166912E-3</v>
      </c>
      <c r="DU47" s="6">
        <f t="shared" si="9"/>
        <v>3.6439825440790436E-3</v>
      </c>
      <c r="DV47" s="6">
        <f t="shared" si="9"/>
        <v>1.9081565325838894E-3</v>
      </c>
      <c r="DW47" s="6">
        <f t="shared" si="9"/>
        <v>9.9919835206293325E-4</v>
      </c>
      <c r="DX47" s="6">
        <f t="shared" si="9"/>
        <v>5.2322612412955387E-4</v>
      </c>
      <c r="DY47" s="6">
        <f t="shared" si="9"/>
        <v>2.7398521665618727E-4</v>
      </c>
      <c r="DZ47" s="6">
        <f t="shared" si="9"/>
        <v>1.434712364010579E-4</v>
      </c>
      <c r="EA47" s="6">
        <f t="shared" si="9"/>
        <v>7.5128125253133484E-5</v>
      </c>
      <c r="EB47" s="6">
        <f t="shared" si="9"/>
        <v>3.9340535048245028E-5</v>
      </c>
      <c r="EC47" s="6">
        <f t="shared" ref="EC47:EH69" si="20">(EB47*$B$22-BM47)/($B$21-$B$22*CT47)</f>
        <v>2.0600510030931069E-5</v>
      </c>
      <c r="ED47" s="6">
        <f t="shared" si="20"/>
        <v>1.0787372693687478E-5</v>
      </c>
      <c r="EE47" s="6">
        <f t="shared" si="20"/>
        <v>5.6487635237084939E-6</v>
      </c>
      <c r="EF47" s="6">
        <f t="shared" si="20"/>
        <v>2.9579518806698644E-6</v>
      </c>
      <c r="EG47" s="6">
        <f t="shared" si="20"/>
        <v>1.5489193859215107E-6</v>
      </c>
      <c r="EH47" s="6">
        <f t="shared" si="20"/>
        <v>22.691323308663819</v>
      </c>
    </row>
    <row r="48" spans="5:138">
      <c r="E48" s="26"/>
      <c r="F48" s="4">
        <v>7.0000000000000007E-2</v>
      </c>
      <c r="G48">
        <f t="shared" si="10"/>
        <v>300</v>
      </c>
      <c r="H48">
        <f t="shared" si="11"/>
        <v>157.09377165338856</v>
      </c>
      <c r="I48">
        <f t="shared" si="6"/>
        <v>82.261511023245447</v>
      </c>
      <c r="J48">
        <f t="shared" si="6"/>
        <v>43.075905169842066</v>
      </c>
      <c r="K48">
        <f t="shared" si="6"/>
        <v>22.556524890036922</v>
      </c>
      <c r="L48">
        <f t="shared" si="6"/>
        <v>11.811638729247784</v>
      </c>
      <c r="M48">
        <f t="shared" si="6"/>
        <v>6.1851293511326899</v>
      </c>
      <c r="N48">
        <f t="shared" si="6"/>
        <v>3.2388426918417639</v>
      </c>
      <c r="O48">
        <f t="shared" si="6"/>
        <v>1.6960545323489358</v>
      </c>
      <c r="P48">
        <f t="shared" si="6"/>
        <v>0.8882233368739797</v>
      </c>
      <c r="Q48">
        <f t="shared" si="6"/>
        <v>0.46528892071108163</v>
      </c>
      <c r="R48">
        <f t="shared" si="6"/>
        <v>0.24397970352298565</v>
      </c>
      <c r="S48">
        <f t="shared" si="6"/>
        <v>0.12839502452818344</v>
      </c>
      <c r="T48">
        <f t="shared" si="6"/>
        <v>6.8448189495594031E-2</v>
      </c>
      <c r="U48">
        <f t="shared" si="6"/>
        <v>3.8162236577762049E-2</v>
      </c>
      <c r="V48">
        <f t="shared" si="6"/>
        <v>2.4413252843626963E-2</v>
      </c>
      <c r="W48">
        <f t="shared" si="6"/>
        <v>2.1243345341730224E-2</v>
      </c>
      <c r="X48">
        <f t="shared" si="6"/>
        <v>2.7278887487916587E-2</v>
      </c>
      <c r="Y48">
        <f t="shared" si="6"/>
        <v>4.5135280878866799E-2</v>
      </c>
      <c r="Z48">
        <f t="shared" si="6"/>
        <v>8.2550295983992647E-2</v>
      </c>
      <c r="AA48">
        <f t="shared" si="6"/>
        <v>0.1557371060155153</v>
      </c>
      <c r="AB48">
        <f t="shared" ref="AB48:AJ69" si="21">CQ48*AC48+DY48</f>
        <v>0.29640999532042794</v>
      </c>
      <c r="AC48">
        <f t="shared" si="21"/>
        <v>0.56552721593085942</v>
      </c>
      <c r="AD48">
        <f t="shared" si="21"/>
        <v>1.0797062301113298</v>
      </c>
      <c r="AE48">
        <f t="shared" si="21"/>
        <v>2.0617579440067098</v>
      </c>
      <c r="AF48">
        <f t="shared" si="21"/>
        <v>3.937238100304997</v>
      </c>
      <c r="AG48">
        <f t="shared" si="21"/>
        <v>7.5188547667354504</v>
      </c>
      <c r="AH48">
        <f t="shared" si="21"/>
        <v>14.358641832084601</v>
      </c>
      <c r="AI48">
        <f t="shared" si="12"/>
        <v>27.420507024670414</v>
      </c>
      <c r="AJ48">
        <f t="shared" si="12"/>
        <v>52.364591927946741</v>
      </c>
      <c r="AK48">
        <f t="shared" si="13"/>
        <v>100</v>
      </c>
      <c r="AL48" s="24"/>
      <c r="AM48" s="4">
        <v>7.0000000000000007E-2</v>
      </c>
      <c r="AN48" s="15">
        <f t="shared" si="14"/>
        <v>-538200000</v>
      </c>
      <c r="AO48" s="15">
        <f t="shared" si="14"/>
        <v>0</v>
      </c>
      <c r="AP48" s="15">
        <f t="shared" si="14"/>
        <v>0</v>
      </c>
      <c r="AQ48" s="15">
        <f t="shared" si="14"/>
        <v>0</v>
      </c>
      <c r="AR48" s="15">
        <f t="shared" si="14"/>
        <v>0</v>
      </c>
      <c r="AS48" s="15">
        <f t="shared" si="14"/>
        <v>0</v>
      </c>
      <c r="AT48" s="15">
        <f t="shared" si="14"/>
        <v>0</v>
      </c>
      <c r="AU48" s="15">
        <f t="shared" si="14"/>
        <v>0</v>
      </c>
      <c r="AV48" s="15">
        <f t="shared" si="14"/>
        <v>0</v>
      </c>
      <c r="AW48" s="15">
        <f t="shared" si="14"/>
        <v>0</v>
      </c>
      <c r="AX48" s="15">
        <f t="shared" si="14"/>
        <v>0</v>
      </c>
      <c r="AY48" s="15">
        <f t="shared" si="14"/>
        <v>0</v>
      </c>
      <c r="AZ48" s="15">
        <f t="shared" si="14"/>
        <v>0</v>
      </c>
      <c r="BA48" s="15">
        <f t="shared" si="14"/>
        <v>0</v>
      </c>
      <c r="BB48" s="15">
        <f t="shared" si="14"/>
        <v>0</v>
      </c>
      <c r="BC48" s="15">
        <f t="shared" si="14"/>
        <v>0</v>
      </c>
      <c r="BD48" s="15">
        <f t="shared" ref="BD48:BK69" si="22">-($B$12*$B$11)/$B$8*W12</f>
        <v>0</v>
      </c>
      <c r="BE48" s="15">
        <f t="shared" si="22"/>
        <v>0</v>
      </c>
      <c r="BF48" s="15">
        <f t="shared" si="22"/>
        <v>0</v>
      </c>
      <c r="BG48" s="15">
        <f t="shared" si="22"/>
        <v>0</v>
      </c>
      <c r="BH48" s="15">
        <f t="shared" si="22"/>
        <v>0</v>
      </c>
      <c r="BI48" s="15">
        <f t="shared" si="22"/>
        <v>0</v>
      </c>
      <c r="BJ48" s="15">
        <f t="shared" si="22"/>
        <v>0</v>
      </c>
      <c r="BK48" s="15">
        <f t="shared" si="22"/>
        <v>0</v>
      </c>
      <c r="BL48" s="15">
        <f t="shared" si="19"/>
        <v>0</v>
      </c>
      <c r="BM48" s="15">
        <f t="shared" si="19"/>
        <v>0</v>
      </c>
      <c r="BN48" s="15">
        <f t="shared" si="19"/>
        <v>0</v>
      </c>
      <c r="BO48" s="15">
        <f t="shared" si="19"/>
        <v>0</v>
      </c>
      <c r="BP48" s="15">
        <f t="shared" si="19"/>
        <v>0</v>
      </c>
      <c r="BQ48" s="15">
        <f t="shared" si="19"/>
        <v>0</v>
      </c>
      <c r="BR48" s="15">
        <f t="shared" si="19"/>
        <v>-179400000</v>
      </c>
      <c r="BT48" s="24"/>
      <c r="BU48" s="4">
        <v>7.0000000000000007E-2</v>
      </c>
      <c r="BV48" s="6">
        <v>0</v>
      </c>
      <c r="BW48" s="6">
        <f t="shared" si="15"/>
        <v>0.41095890410958902</v>
      </c>
      <c r="BX48" s="6">
        <f t="shared" si="15"/>
        <v>0.49446827726349057</v>
      </c>
      <c r="BY48" s="6">
        <f t="shared" si="15"/>
        <v>0.51576565211146774</v>
      </c>
      <c r="BZ48" s="6">
        <f t="shared" si="15"/>
        <v>0.52149397895713612</v>
      </c>
      <c r="CA48" s="6">
        <f t="shared" si="15"/>
        <v>0.52305649933975962</v>
      </c>
      <c r="CB48" s="6">
        <f t="shared" si="15"/>
        <v>0.52348433598989241</v>
      </c>
      <c r="CC48" s="6">
        <f t="shared" si="15"/>
        <v>0.52360160483419294</v>
      </c>
      <c r="CD48" s="6">
        <f t="shared" si="15"/>
        <v>0.52363375707534621</v>
      </c>
      <c r="CE48" s="6">
        <f t="shared" si="15"/>
        <v>0.52364257312109652</v>
      </c>
      <c r="CF48" s="6">
        <f t="shared" si="15"/>
        <v>0.5236449905056163</v>
      </c>
      <c r="CG48" s="6">
        <f t="shared" si="15"/>
        <v>0.52364565336314417</v>
      </c>
      <c r="CH48" s="6">
        <f t="shared" si="15"/>
        <v>0.52364583512190344</v>
      </c>
      <c r="CI48" s="6">
        <f t="shared" si="15"/>
        <v>0.52364588496106157</v>
      </c>
      <c r="CJ48" s="6">
        <f t="shared" si="15"/>
        <v>0.52364589862720901</v>
      </c>
      <c r="CK48" s="6">
        <f t="shared" si="15"/>
        <v>0.52364590237453534</v>
      </c>
      <c r="CL48" s="6">
        <f t="shared" si="15"/>
        <v>0.52364590340207107</v>
      </c>
      <c r="CM48" s="6">
        <f t="shared" si="15"/>
        <v>0.52364590368382657</v>
      </c>
      <c r="CN48" s="6">
        <f t="shared" si="15"/>
        <v>0.52364590376108522</v>
      </c>
      <c r="CO48" s="6">
        <f t="shared" si="15"/>
        <v>0.52364590378227005</v>
      </c>
      <c r="CP48" s="6">
        <f t="shared" si="15"/>
        <v>0.52364590378807896</v>
      </c>
      <c r="CQ48" s="6">
        <f t="shared" si="15"/>
        <v>0.5236459037896718</v>
      </c>
      <c r="CR48" s="6">
        <f t="shared" si="15"/>
        <v>0.52364590379010867</v>
      </c>
      <c r="CS48" s="6">
        <f t="shared" si="15"/>
        <v>0.52364590379022846</v>
      </c>
      <c r="CT48" s="6">
        <f t="shared" ref="CT48:CY48" si="23">$B$20/($B$21-$B$22*CS48)</f>
        <v>0.52364590379026121</v>
      </c>
      <c r="CU48" s="6">
        <f t="shared" si="23"/>
        <v>0.52364590379027021</v>
      </c>
      <c r="CV48" s="6">
        <f t="shared" si="23"/>
        <v>0.52364590379027265</v>
      </c>
      <c r="CW48" s="6">
        <f t="shared" si="23"/>
        <v>0.52364590379027331</v>
      </c>
      <c r="CX48" s="6">
        <f t="shared" si="23"/>
        <v>0.52364590379027354</v>
      </c>
      <c r="CY48" s="6">
        <f t="shared" si="23"/>
        <v>0.52364590379027354</v>
      </c>
      <c r="CZ48" s="6">
        <f t="shared" si="16"/>
        <v>100</v>
      </c>
      <c r="DB48" s="24"/>
      <c r="DC48" s="4">
        <v>7.0000000000000007E-2</v>
      </c>
      <c r="DD48" s="6">
        <f t="shared" si="17"/>
        <v>300</v>
      </c>
      <c r="DE48" s="6">
        <f t="shared" si="18"/>
        <v>123.28767123287672</v>
      </c>
      <c r="DF48" s="6">
        <f t="shared" si="18"/>
        <v>60.961842402348154</v>
      </c>
      <c r="DG48" s="6">
        <f t="shared" si="18"/>
        <v>31.442024400563621</v>
      </c>
      <c r="DH48" s="6">
        <f t="shared" si="18"/>
        <v>16.396826411117285</v>
      </c>
      <c r="DI48" s="6">
        <f t="shared" si="18"/>
        <v>8.5764666228807211</v>
      </c>
      <c r="DJ48" s="6">
        <f t="shared" si="18"/>
        <v>4.4896459352181886</v>
      </c>
      <c r="DK48" s="6">
        <f t="shared" si="18"/>
        <v>2.3507858168175546</v>
      </c>
      <c r="DL48" s="6">
        <f t="shared" si="18"/>
        <v>1.2309508093396129</v>
      </c>
      <c r="DM48" s="6">
        <f t="shared" si="18"/>
        <v>0.64457824918809103</v>
      </c>
      <c r="DN48" s="6">
        <f t="shared" si="18"/>
        <v>0.33753017117622475</v>
      </c>
      <c r="DO48" s="6">
        <f t="shared" si="18"/>
        <v>0.17674620701534813</v>
      </c>
      <c r="DP48" s="6">
        <f t="shared" si="18"/>
        <v>9.2552415177180797E-2</v>
      </c>
      <c r="DQ48" s="6">
        <f t="shared" si="18"/>
        <v>4.8464691350738429E-2</v>
      </c>
      <c r="DR48" s="6">
        <f t="shared" si="18"/>
        <v>2.5378336854047744E-2</v>
      </c>
      <c r="DS48" s="6">
        <f t="shared" si="18"/>
        <v>1.3289262102702756E-2</v>
      </c>
      <c r="DT48" s="6">
        <f t="shared" si="18"/>
        <v>6.9588676593166912E-3</v>
      </c>
      <c r="DU48" s="6">
        <f t="shared" ref="DU48:EB69" si="24">(DT48*$B$22-BE48)/($B$21-$B$22*CL48)</f>
        <v>3.6439825440790436E-3</v>
      </c>
      <c r="DV48" s="6">
        <f t="shared" si="24"/>
        <v>1.9081565325838894E-3</v>
      </c>
      <c r="DW48" s="6">
        <f t="shared" si="24"/>
        <v>9.9919835206293325E-4</v>
      </c>
      <c r="DX48" s="6">
        <f t="shared" si="24"/>
        <v>5.2322612412955387E-4</v>
      </c>
      <c r="DY48" s="6">
        <f t="shared" si="24"/>
        <v>2.7398521665618727E-4</v>
      </c>
      <c r="DZ48" s="6">
        <f t="shared" si="24"/>
        <v>1.434712364010579E-4</v>
      </c>
      <c r="EA48" s="6">
        <f t="shared" si="24"/>
        <v>7.5128125253133484E-5</v>
      </c>
      <c r="EB48" s="6">
        <f t="shared" si="24"/>
        <v>3.9340535048245028E-5</v>
      </c>
      <c r="EC48" s="6">
        <f t="shared" si="20"/>
        <v>2.0600510030931069E-5</v>
      </c>
      <c r="ED48" s="6">
        <f t="shared" si="20"/>
        <v>1.0787372693687478E-5</v>
      </c>
      <c r="EE48" s="6">
        <f t="shared" si="20"/>
        <v>5.6487635237084939E-6</v>
      </c>
      <c r="EF48" s="6">
        <f t="shared" si="20"/>
        <v>2.9579518806698644E-6</v>
      </c>
      <c r="EG48" s="6">
        <f t="shared" si="20"/>
        <v>1.5489193859215107E-6</v>
      </c>
      <c r="EH48" s="6">
        <f t="shared" si="20"/>
        <v>22.691323308663819</v>
      </c>
    </row>
    <row r="49" spans="5:138">
      <c r="E49" s="26"/>
      <c r="F49" s="4">
        <v>6.6666666666666666E-2</v>
      </c>
      <c r="G49">
        <f t="shared" si="10"/>
        <v>300</v>
      </c>
      <c r="H49">
        <f t="shared" si="11"/>
        <v>157.09377165338856</v>
      </c>
      <c r="I49">
        <f t="shared" si="11"/>
        <v>82.261511023245447</v>
      </c>
      <c r="J49">
        <f t="shared" si="11"/>
        <v>43.075905169842066</v>
      </c>
      <c r="K49">
        <f t="shared" si="11"/>
        <v>22.556524890036922</v>
      </c>
      <c r="L49">
        <f t="shared" si="11"/>
        <v>11.811638729247784</v>
      </c>
      <c r="M49">
        <f t="shared" si="11"/>
        <v>6.1851293511326899</v>
      </c>
      <c r="N49">
        <f t="shared" si="11"/>
        <v>3.2388426918417639</v>
      </c>
      <c r="O49">
        <f t="shared" si="11"/>
        <v>1.6960545323489358</v>
      </c>
      <c r="P49">
        <f t="shared" si="11"/>
        <v>0.8882233368739797</v>
      </c>
      <c r="Q49">
        <f t="shared" si="11"/>
        <v>0.46528892071108163</v>
      </c>
      <c r="R49">
        <f t="shared" si="11"/>
        <v>0.24397970352298565</v>
      </c>
      <c r="S49">
        <f t="shared" si="11"/>
        <v>0.12839502452818344</v>
      </c>
      <c r="T49">
        <f t="shared" si="11"/>
        <v>6.8448189495594031E-2</v>
      </c>
      <c r="U49">
        <f t="shared" si="11"/>
        <v>3.8162236577762049E-2</v>
      </c>
      <c r="V49">
        <f t="shared" si="11"/>
        <v>2.4413252843626963E-2</v>
      </c>
      <c r="W49">
        <f t="shared" si="11"/>
        <v>2.1243345341730224E-2</v>
      </c>
      <c r="X49">
        <f t="shared" ref="X49:AA69" si="25">CM49*Y49+DU49</f>
        <v>2.7278887487916587E-2</v>
      </c>
      <c r="Y49">
        <f t="shared" si="25"/>
        <v>4.5135280878866799E-2</v>
      </c>
      <c r="Z49">
        <f t="shared" si="25"/>
        <v>8.2550295983992647E-2</v>
      </c>
      <c r="AA49">
        <f t="shared" si="25"/>
        <v>0.1557371060155153</v>
      </c>
      <c r="AB49">
        <f t="shared" si="21"/>
        <v>0.29640999532042794</v>
      </c>
      <c r="AC49">
        <f t="shared" si="21"/>
        <v>0.56552721593085942</v>
      </c>
      <c r="AD49">
        <f t="shared" si="21"/>
        <v>1.0797062301113298</v>
      </c>
      <c r="AE49">
        <f t="shared" si="21"/>
        <v>2.0617579440067098</v>
      </c>
      <c r="AF49">
        <f t="shared" si="21"/>
        <v>3.937238100304997</v>
      </c>
      <c r="AG49">
        <f t="shared" si="21"/>
        <v>7.5188547667354504</v>
      </c>
      <c r="AH49">
        <f t="shared" si="21"/>
        <v>14.358641832084601</v>
      </c>
      <c r="AI49">
        <f t="shared" si="12"/>
        <v>27.420507024670414</v>
      </c>
      <c r="AJ49">
        <f t="shared" si="12"/>
        <v>52.364591927946741</v>
      </c>
      <c r="AK49">
        <f t="shared" si="13"/>
        <v>100</v>
      </c>
      <c r="AL49" s="24"/>
      <c r="AM49" s="4">
        <v>6.6666666666666666E-2</v>
      </c>
      <c r="AN49" s="15">
        <f t="shared" si="14"/>
        <v>-538200000</v>
      </c>
      <c r="AO49" s="15">
        <f t="shared" si="14"/>
        <v>0</v>
      </c>
      <c r="AP49" s="15">
        <f t="shared" si="14"/>
        <v>0</v>
      </c>
      <c r="AQ49" s="15">
        <f t="shared" si="14"/>
        <v>0</v>
      </c>
      <c r="AR49" s="15">
        <f t="shared" si="14"/>
        <v>0</v>
      </c>
      <c r="AS49" s="15">
        <f t="shared" si="14"/>
        <v>0</v>
      </c>
      <c r="AT49" s="15">
        <f t="shared" si="14"/>
        <v>0</v>
      </c>
      <c r="AU49" s="15">
        <f t="shared" si="14"/>
        <v>0</v>
      </c>
      <c r="AV49" s="15">
        <f t="shared" si="14"/>
        <v>0</v>
      </c>
      <c r="AW49" s="15">
        <f t="shared" si="14"/>
        <v>0</v>
      </c>
      <c r="AX49" s="15">
        <f t="shared" si="14"/>
        <v>0</v>
      </c>
      <c r="AY49" s="15">
        <f t="shared" si="14"/>
        <v>0</v>
      </c>
      <c r="AZ49" s="15">
        <f t="shared" si="14"/>
        <v>0</v>
      </c>
      <c r="BA49" s="15">
        <f t="shared" si="14"/>
        <v>0</v>
      </c>
      <c r="BB49" s="15">
        <f t="shared" si="14"/>
        <v>0</v>
      </c>
      <c r="BC49" s="15">
        <f t="shared" si="14"/>
        <v>0</v>
      </c>
      <c r="BD49" s="15">
        <f t="shared" si="22"/>
        <v>0</v>
      </c>
      <c r="BE49" s="15">
        <f t="shared" si="22"/>
        <v>0</v>
      </c>
      <c r="BF49" s="15">
        <f t="shared" si="22"/>
        <v>0</v>
      </c>
      <c r="BG49" s="15">
        <f t="shared" si="22"/>
        <v>0</v>
      </c>
      <c r="BH49" s="15">
        <f t="shared" si="22"/>
        <v>0</v>
      </c>
      <c r="BI49" s="15">
        <f t="shared" si="22"/>
        <v>0</v>
      </c>
      <c r="BJ49" s="15">
        <f t="shared" si="22"/>
        <v>0</v>
      </c>
      <c r="BK49" s="15">
        <f t="shared" si="22"/>
        <v>0</v>
      </c>
      <c r="BL49" s="15">
        <f t="shared" si="19"/>
        <v>0</v>
      </c>
      <c r="BM49" s="15">
        <f t="shared" si="19"/>
        <v>0</v>
      </c>
      <c r="BN49" s="15">
        <f t="shared" si="19"/>
        <v>0</v>
      </c>
      <c r="BO49" s="15">
        <f t="shared" si="19"/>
        <v>0</v>
      </c>
      <c r="BP49" s="15">
        <f t="shared" si="19"/>
        <v>0</v>
      </c>
      <c r="BQ49" s="15">
        <f t="shared" si="19"/>
        <v>0</v>
      </c>
      <c r="BR49" s="15">
        <f t="shared" si="19"/>
        <v>-179400000</v>
      </c>
      <c r="BT49" s="24"/>
      <c r="BU49" s="4">
        <v>6.6666666666666666E-2</v>
      </c>
      <c r="BV49" s="6">
        <v>0</v>
      </c>
      <c r="BW49" s="6">
        <f t="shared" ref="BW49:CY57" si="26">$B$20/($B$21-$B$22*BV49)</f>
        <v>0.41095890410958902</v>
      </c>
      <c r="BX49" s="6">
        <f t="shared" si="26"/>
        <v>0.49446827726349057</v>
      </c>
      <c r="BY49" s="6">
        <f t="shared" si="26"/>
        <v>0.51576565211146774</v>
      </c>
      <c r="BZ49" s="6">
        <f t="shared" si="26"/>
        <v>0.52149397895713612</v>
      </c>
      <c r="CA49" s="6">
        <f t="shared" si="26"/>
        <v>0.52305649933975962</v>
      </c>
      <c r="CB49" s="6">
        <f t="shared" si="26"/>
        <v>0.52348433598989241</v>
      </c>
      <c r="CC49" s="6">
        <f t="shared" si="26"/>
        <v>0.52360160483419294</v>
      </c>
      <c r="CD49" s="6">
        <f t="shared" si="26"/>
        <v>0.52363375707534621</v>
      </c>
      <c r="CE49" s="6">
        <f t="shared" si="26"/>
        <v>0.52364257312109652</v>
      </c>
      <c r="CF49" s="6">
        <f t="shared" si="26"/>
        <v>0.5236449905056163</v>
      </c>
      <c r="CG49" s="6">
        <f t="shared" si="26"/>
        <v>0.52364565336314417</v>
      </c>
      <c r="CH49" s="6">
        <f t="shared" si="26"/>
        <v>0.52364583512190344</v>
      </c>
      <c r="CI49" s="6">
        <f t="shared" si="26"/>
        <v>0.52364588496106157</v>
      </c>
      <c r="CJ49" s="6">
        <f t="shared" si="26"/>
        <v>0.52364589862720901</v>
      </c>
      <c r="CK49" s="6">
        <f t="shared" si="26"/>
        <v>0.52364590237453534</v>
      </c>
      <c r="CL49" s="6">
        <f t="shared" si="26"/>
        <v>0.52364590340207107</v>
      </c>
      <c r="CM49" s="6">
        <f t="shared" si="26"/>
        <v>0.52364590368382657</v>
      </c>
      <c r="CN49" s="6">
        <f t="shared" si="26"/>
        <v>0.52364590376108522</v>
      </c>
      <c r="CO49" s="6">
        <f t="shared" si="26"/>
        <v>0.52364590378227005</v>
      </c>
      <c r="CP49" s="6">
        <f t="shared" si="26"/>
        <v>0.52364590378807896</v>
      </c>
      <c r="CQ49" s="6">
        <f t="shared" si="26"/>
        <v>0.5236459037896718</v>
      </c>
      <c r="CR49" s="6">
        <f t="shared" si="26"/>
        <v>0.52364590379010867</v>
      </c>
      <c r="CS49" s="6">
        <f t="shared" si="26"/>
        <v>0.52364590379022846</v>
      </c>
      <c r="CT49" s="6">
        <f t="shared" si="26"/>
        <v>0.52364590379026121</v>
      </c>
      <c r="CU49" s="6">
        <f t="shared" si="26"/>
        <v>0.52364590379027021</v>
      </c>
      <c r="CV49" s="6">
        <f t="shared" si="26"/>
        <v>0.52364590379027265</v>
      </c>
      <c r="CW49" s="6">
        <f t="shared" si="26"/>
        <v>0.52364590379027331</v>
      </c>
      <c r="CX49" s="6">
        <f t="shared" si="26"/>
        <v>0.52364590379027354</v>
      </c>
      <c r="CY49" s="6">
        <f t="shared" si="26"/>
        <v>0.52364590379027354</v>
      </c>
      <c r="CZ49" s="6">
        <f t="shared" si="16"/>
        <v>100</v>
      </c>
      <c r="DB49" s="24"/>
      <c r="DC49" s="4">
        <v>6.6666666666666666E-2</v>
      </c>
      <c r="DD49" s="6">
        <f t="shared" si="17"/>
        <v>300</v>
      </c>
      <c r="DE49" s="6">
        <f t="shared" si="18"/>
        <v>123.28767123287672</v>
      </c>
      <c r="DF49" s="6">
        <f t="shared" si="18"/>
        <v>60.961842402348154</v>
      </c>
      <c r="DG49" s="6">
        <f t="shared" si="18"/>
        <v>31.442024400563621</v>
      </c>
      <c r="DH49" s="6">
        <f t="shared" si="18"/>
        <v>16.396826411117285</v>
      </c>
      <c r="DI49" s="6">
        <f t="shared" si="18"/>
        <v>8.5764666228807211</v>
      </c>
      <c r="DJ49" s="6">
        <f t="shared" si="18"/>
        <v>4.4896459352181886</v>
      </c>
      <c r="DK49" s="6">
        <f t="shared" si="18"/>
        <v>2.3507858168175546</v>
      </c>
      <c r="DL49" s="6">
        <f t="shared" si="18"/>
        <v>1.2309508093396129</v>
      </c>
      <c r="DM49" s="6">
        <f t="shared" si="18"/>
        <v>0.64457824918809103</v>
      </c>
      <c r="DN49" s="6">
        <f t="shared" si="18"/>
        <v>0.33753017117622475</v>
      </c>
      <c r="DO49" s="6">
        <f t="shared" si="18"/>
        <v>0.17674620701534813</v>
      </c>
      <c r="DP49" s="6">
        <f t="shared" si="18"/>
        <v>9.2552415177180797E-2</v>
      </c>
      <c r="DQ49" s="6">
        <f t="shared" si="18"/>
        <v>4.8464691350738429E-2</v>
      </c>
      <c r="DR49" s="6">
        <f t="shared" si="18"/>
        <v>2.5378336854047744E-2</v>
      </c>
      <c r="DS49" s="6">
        <f t="shared" si="18"/>
        <v>1.3289262102702756E-2</v>
      </c>
      <c r="DT49" s="6">
        <f t="shared" si="18"/>
        <v>6.9588676593166912E-3</v>
      </c>
      <c r="DU49" s="6">
        <f t="shared" si="24"/>
        <v>3.6439825440790436E-3</v>
      </c>
      <c r="DV49" s="6">
        <f t="shared" si="24"/>
        <v>1.9081565325838894E-3</v>
      </c>
      <c r="DW49" s="6">
        <f t="shared" si="24"/>
        <v>9.9919835206293325E-4</v>
      </c>
      <c r="DX49" s="6">
        <f t="shared" si="24"/>
        <v>5.2322612412955387E-4</v>
      </c>
      <c r="DY49" s="6">
        <f t="shared" si="24"/>
        <v>2.7398521665618727E-4</v>
      </c>
      <c r="DZ49" s="6">
        <f t="shared" si="24"/>
        <v>1.434712364010579E-4</v>
      </c>
      <c r="EA49" s="6">
        <f t="shared" si="24"/>
        <v>7.5128125253133484E-5</v>
      </c>
      <c r="EB49" s="6">
        <f t="shared" si="24"/>
        <v>3.9340535048245028E-5</v>
      </c>
      <c r="EC49" s="6">
        <f t="shared" si="20"/>
        <v>2.0600510030931069E-5</v>
      </c>
      <c r="ED49" s="6">
        <f t="shared" si="20"/>
        <v>1.0787372693687478E-5</v>
      </c>
      <c r="EE49" s="6">
        <f t="shared" si="20"/>
        <v>5.6487635237084939E-6</v>
      </c>
      <c r="EF49" s="6">
        <f t="shared" si="20"/>
        <v>2.9579518806698644E-6</v>
      </c>
      <c r="EG49" s="6">
        <f t="shared" si="20"/>
        <v>1.5489193859215107E-6</v>
      </c>
      <c r="EH49" s="6">
        <f t="shared" si="20"/>
        <v>22.691323308663819</v>
      </c>
    </row>
    <row r="50" spans="5:138">
      <c r="E50" s="26"/>
      <c r="F50" s="4">
        <v>6.3333333333333339E-2</v>
      </c>
      <c r="G50">
        <f t="shared" si="10"/>
        <v>300</v>
      </c>
      <c r="H50">
        <f t="shared" si="11"/>
        <v>157.09377165338856</v>
      </c>
      <c r="I50">
        <f t="shared" si="11"/>
        <v>82.261511023245447</v>
      </c>
      <c r="J50">
        <f t="shared" si="11"/>
        <v>43.075905169842066</v>
      </c>
      <c r="K50">
        <f t="shared" si="11"/>
        <v>22.556524890036922</v>
      </c>
      <c r="L50">
        <f t="shared" si="11"/>
        <v>11.811638729247784</v>
      </c>
      <c r="M50">
        <f t="shared" si="11"/>
        <v>6.1851293511326899</v>
      </c>
      <c r="N50">
        <f t="shared" si="11"/>
        <v>3.2388426918417639</v>
      </c>
      <c r="O50">
        <f t="shared" si="11"/>
        <v>1.6960545323489358</v>
      </c>
      <c r="P50">
        <f t="shared" si="11"/>
        <v>0.8882233368739797</v>
      </c>
      <c r="Q50">
        <f t="shared" si="11"/>
        <v>0.46528892071108163</v>
      </c>
      <c r="R50">
        <f t="shared" si="11"/>
        <v>0.24397970352298565</v>
      </c>
      <c r="S50">
        <f t="shared" si="11"/>
        <v>0.12839502452818344</v>
      </c>
      <c r="T50">
        <f t="shared" si="11"/>
        <v>6.8448189495594031E-2</v>
      </c>
      <c r="U50">
        <f t="shared" si="11"/>
        <v>3.8162236577762049E-2</v>
      </c>
      <c r="V50">
        <f t="shared" si="11"/>
        <v>2.4413252843626963E-2</v>
      </c>
      <c r="W50">
        <f t="shared" si="11"/>
        <v>2.1243345341730224E-2</v>
      </c>
      <c r="X50">
        <f t="shared" si="25"/>
        <v>2.7278887487916587E-2</v>
      </c>
      <c r="Y50">
        <f t="shared" si="25"/>
        <v>4.5135280878866799E-2</v>
      </c>
      <c r="Z50">
        <f t="shared" si="25"/>
        <v>8.2550295983992647E-2</v>
      </c>
      <c r="AA50">
        <f t="shared" si="25"/>
        <v>0.1557371060155153</v>
      </c>
      <c r="AB50">
        <f t="shared" si="21"/>
        <v>0.29640999532042794</v>
      </c>
      <c r="AC50">
        <f t="shared" si="21"/>
        <v>0.56552721593085942</v>
      </c>
      <c r="AD50">
        <f t="shared" si="21"/>
        <v>1.0797062301113298</v>
      </c>
      <c r="AE50">
        <f t="shared" si="21"/>
        <v>2.0617579440067098</v>
      </c>
      <c r="AF50">
        <f t="shared" si="21"/>
        <v>3.937238100304997</v>
      </c>
      <c r="AG50">
        <f t="shared" si="21"/>
        <v>7.5188547667354504</v>
      </c>
      <c r="AH50">
        <f t="shared" si="21"/>
        <v>14.358641832084601</v>
      </c>
      <c r="AI50">
        <f t="shared" si="12"/>
        <v>27.420507024670414</v>
      </c>
      <c r="AJ50">
        <f t="shared" si="12"/>
        <v>52.364591927946741</v>
      </c>
      <c r="AK50">
        <f t="shared" si="13"/>
        <v>100</v>
      </c>
      <c r="AL50" s="24"/>
      <c r="AM50" s="4">
        <v>6.3333333333333339E-2</v>
      </c>
      <c r="AN50" s="15">
        <f t="shared" si="14"/>
        <v>-538200000</v>
      </c>
      <c r="AO50" s="15">
        <f t="shared" si="14"/>
        <v>0</v>
      </c>
      <c r="AP50" s="15">
        <f t="shared" si="14"/>
        <v>0</v>
      </c>
      <c r="AQ50" s="15">
        <f t="shared" si="14"/>
        <v>0</v>
      </c>
      <c r="AR50" s="15">
        <f t="shared" si="14"/>
        <v>0</v>
      </c>
      <c r="AS50" s="15">
        <f t="shared" si="14"/>
        <v>0</v>
      </c>
      <c r="AT50" s="15">
        <f t="shared" si="14"/>
        <v>0</v>
      </c>
      <c r="AU50" s="15">
        <f t="shared" si="14"/>
        <v>0</v>
      </c>
      <c r="AV50" s="15">
        <f t="shared" si="14"/>
        <v>0</v>
      </c>
      <c r="AW50" s="15">
        <f t="shared" si="14"/>
        <v>0</v>
      </c>
      <c r="AX50" s="15">
        <f t="shared" si="14"/>
        <v>0</v>
      </c>
      <c r="AY50" s="15">
        <f t="shared" si="14"/>
        <v>0</v>
      </c>
      <c r="AZ50" s="15">
        <f t="shared" si="14"/>
        <v>0</v>
      </c>
      <c r="BA50" s="15">
        <f t="shared" si="14"/>
        <v>0</v>
      </c>
      <c r="BB50" s="15">
        <f t="shared" si="14"/>
        <v>0</v>
      </c>
      <c r="BC50" s="15">
        <f t="shared" si="14"/>
        <v>0</v>
      </c>
      <c r="BD50" s="15">
        <f t="shared" si="22"/>
        <v>0</v>
      </c>
      <c r="BE50" s="15">
        <f t="shared" si="22"/>
        <v>0</v>
      </c>
      <c r="BF50" s="15">
        <f t="shared" si="22"/>
        <v>0</v>
      </c>
      <c r="BG50" s="15">
        <f t="shared" si="22"/>
        <v>0</v>
      </c>
      <c r="BH50" s="15">
        <f t="shared" si="22"/>
        <v>0</v>
      </c>
      <c r="BI50" s="15">
        <f t="shared" si="22"/>
        <v>0</v>
      </c>
      <c r="BJ50" s="15">
        <f t="shared" si="22"/>
        <v>0</v>
      </c>
      <c r="BK50" s="15">
        <f t="shared" si="22"/>
        <v>0</v>
      </c>
      <c r="BL50" s="15">
        <f t="shared" si="19"/>
        <v>0</v>
      </c>
      <c r="BM50" s="15">
        <f t="shared" si="19"/>
        <v>0</v>
      </c>
      <c r="BN50" s="15">
        <f t="shared" si="19"/>
        <v>0</v>
      </c>
      <c r="BO50" s="15">
        <f t="shared" si="19"/>
        <v>0</v>
      </c>
      <c r="BP50" s="15">
        <f t="shared" si="19"/>
        <v>0</v>
      </c>
      <c r="BQ50" s="15">
        <f t="shared" si="19"/>
        <v>0</v>
      </c>
      <c r="BR50" s="15">
        <f t="shared" si="19"/>
        <v>-179400000</v>
      </c>
      <c r="BT50" s="24"/>
      <c r="BU50" s="4">
        <v>6.3333333333333339E-2</v>
      </c>
      <c r="BV50" s="6">
        <v>0</v>
      </c>
      <c r="BW50" s="6">
        <f t="shared" si="26"/>
        <v>0.41095890410958902</v>
      </c>
      <c r="BX50" s="6">
        <f t="shared" si="26"/>
        <v>0.49446827726349057</v>
      </c>
      <c r="BY50" s="6">
        <f t="shared" si="26"/>
        <v>0.51576565211146774</v>
      </c>
      <c r="BZ50" s="6">
        <f t="shared" si="26"/>
        <v>0.52149397895713612</v>
      </c>
      <c r="CA50" s="6">
        <f t="shared" si="26"/>
        <v>0.52305649933975962</v>
      </c>
      <c r="CB50" s="6">
        <f t="shared" si="26"/>
        <v>0.52348433598989241</v>
      </c>
      <c r="CC50" s="6">
        <f t="shared" si="26"/>
        <v>0.52360160483419294</v>
      </c>
      <c r="CD50" s="6">
        <f t="shared" si="26"/>
        <v>0.52363375707534621</v>
      </c>
      <c r="CE50" s="6">
        <f t="shared" si="26"/>
        <v>0.52364257312109652</v>
      </c>
      <c r="CF50" s="6">
        <f t="shared" si="26"/>
        <v>0.5236449905056163</v>
      </c>
      <c r="CG50" s="6">
        <f t="shared" si="26"/>
        <v>0.52364565336314417</v>
      </c>
      <c r="CH50" s="6">
        <f t="shared" si="26"/>
        <v>0.52364583512190344</v>
      </c>
      <c r="CI50" s="6">
        <f t="shared" si="26"/>
        <v>0.52364588496106157</v>
      </c>
      <c r="CJ50" s="6">
        <f t="shared" si="26"/>
        <v>0.52364589862720901</v>
      </c>
      <c r="CK50" s="6">
        <f t="shared" si="26"/>
        <v>0.52364590237453534</v>
      </c>
      <c r="CL50" s="6">
        <f t="shared" si="26"/>
        <v>0.52364590340207107</v>
      </c>
      <c r="CM50" s="6">
        <f t="shared" si="26"/>
        <v>0.52364590368382657</v>
      </c>
      <c r="CN50" s="6">
        <f t="shared" si="26"/>
        <v>0.52364590376108522</v>
      </c>
      <c r="CO50" s="6">
        <f t="shared" si="26"/>
        <v>0.52364590378227005</v>
      </c>
      <c r="CP50" s="6">
        <f t="shared" si="26"/>
        <v>0.52364590378807896</v>
      </c>
      <c r="CQ50" s="6">
        <f t="shared" si="26"/>
        <v>0.5236459037896718</v>
      </c>
      <c r="CR50" s="6">
        <f t="shared" si="26"/>
        <v>0.52364590379010867</v>
      </c>
      <c r="CS50" s="6">
        <f t="shared" si="26"/>
        <v>0.52364590379022846</v>
      </c>
      <c r="CT50" s="6">
        <f t="shared" si="26"/>
        <v>0.52364590379026121</v>
      </c>
      <c r="CU50" s="6">
        <f t="shared" si="26"/>
        <v>0.52364590379027021</v>
      </c>
      <c r="CV50" s="6">
        <f t="shared" si="26"/>
        <v>0.52364590379027265</v>
      </c>
      <c r="CW50" s="6">
        <f t="shared" si="26"/>
        <v>0.52364590379027331</v>
      </c>
      <c r="CX50" s="6">
        <f t="shared" si="26"/>
        <v>0.52364590379027354</v>
      </c>
      <c r="CY50" s="6">
        <f t="shared" si="26"/>
        <v>0.52364590379027354</v>
      </c>
      <c r="CZ50" s="6">
        <f t="shared" si="16"/>
        <v>100</v>
      </c>
      <c r="DB50" s="24"/>
      <c r="DC50" s="4">
        <v>6.3333333333333339E-2</v>
      </c>
      <c r="DD50" s="6">
        <f t="shared" si="17"/>
        <v>300</v>
      </c>
      <c r="DE50" s="6">
        <f t="shared" si="18"/>
        <v>123.28767123287672</v>
      </c>
      <c r="DF50" s="6">
        <f t="shared" si="18"/>
        <v>60.961842402348154</v>
      </c>
      <c r="DG50" s="6">
        <f t="shared" si="18"/>
        <v>31.442024400563621</v>
      </c>
      <c r="DH50" s="6">
        <f t="shared" si="18"/>
        <v>16.396826411117285</v>
      </c>
      <c r="DI50" s="6">
        <f t="shared" si="18"/>
        <v>8.5764666228807211</v>
      </c>
      <c r="DJ50" s="6">
        <f t="shared" si="18"/>
        <v>4.4896459352181886</v>
      </c>
      <c r="DK50" s="6">
        <f t="shared" si="18"/>
        <v>2.3507858168175546</v>
      </c>
      <c r="DL50" s="6">
        <f t="shared" si="18"/>
        <v>1.2309508093396129</v>
      </c>
      <c r="DM50" s="6">
        <f t="shared" si="18"/>
        <v>0.64457824918809103</v>
      </c>
      <c r="DN50" s="6">
        <f t="shared" si="18"/>
        <v>0.33753017117622475</v>
      </c>
      <c r="DO50" s="6">
        <f t="shared" si="18"/>
        <v>0.17674620701534813</v>
      </c>
      <c r="DP50" s="6">
        <f t="shared" si="18"/>
        <v>9.2552415177180797E-2</v>
      </c>
      <c r="DQ50" s="6">
        <f t="shared" si="18"/>
        <v>4.8464691350738429E-2</v>
      </c>
      <c r="DR50" s="6">
        <f t="shared" si="18"/>
        <v>2.5378336854047744E-2</v>
      </c>
      <c r="DS50" s="6">
        <f t="shared" si="18"/>
        <v>1.3289262102702756E-2</v>
      </c>
      <c r="DT50" s="6">
        <f t="shared" si="18"/>
        <v>6.9588676593166912E-3</v>
      </c>
      <c r="DU50" s="6">
        <f t="shared" si="24"/>
        <v>3.6439825440790436E-3</v>
      </c>
      <c r="DV50" s="6">
        <f t="shared" si="24"/>
        <v>1.9081565325838894E-3</v>
      </c>
      <c r="DW50" s="6">
        <f t="shared" si="24"/>
        <v>9.9919835206293325E-4</v>
      </c>
      <c r="DX50" s="6">
        <f t="shared" si="24"/>
        <v>5.2322612412955387E-4</v>
      </c>
      <c r="DY50" s="6">
        <f t="shared" si="24"/>
        <v>2.7398521665618727E-4</v>
      </c>
      <c r="DZ50" s="6">
        <f t="shared" si="24"/>
        <v>1.434712364010579E-4</v>
      </c>
      <c r="EA50" s="6">
        <f t="shared" si="24"/>
        <v>7.5128125253133484E-5</v>
      </c>
      <c r="EB50" s="6">
        <f t="shared" si="24"/>
        <v>3.9340535048245028E-5</v>
      </c>
      <c r="EC50" s="6">
        <f t="shared" si="20"/>
        <v>2.0600510030931069E-5</v>
      </c>
      <c r="ED50" s="6">
        <f t="shared" si="20"/>
        <v>1.0787372693687478E-5</v>
      </c>
      <c r="EE50" s="6">
        <f t="shared" si="20"/>
        <v>5.6487635237084939E-6</v>
      </c>
      <c r="EF50" s="6">
        <f t="shared" si="20"/>
        <v>2.9579518806698644E-6</v>
      </c>
      <c r="EG50" s="6">
        <f t="shared" si="20"/>
        <v>1.5489193859215107E-6</v>
      </c>
      <c r="EH50" s="6">
        <f t="shared" si="20"/>
        <v>22.691323308663819</v>
      </c>
    </row>
    <row r="51" spans="5:138">
      <c r="E51" s="26"/>
      <c r="F51" s="4">
        <v>6.0000000000000005E-2</v>
      </c>
      <c r="G51">
        <f t="shared" si="10"/>
        <v>300</v>
      </c>
      <c r="H51">
        <f t="shared" si="11"/>
        <v>157.09377165338856</v>
      </c>
      <c r="I51">
        <f t="shared" si="11"/>
        <v>82.261511023245447</v>
      </c>
      <c r="J51">
        <f t="shared" si="11"/>
        <v>43.075905169842066</v>
      </c>
      <c r="K51">
        <f t="shared" si="11"/>
        <v>22.556524890036922</v>
      </c>
      <c r="L51">
        <f t="shared" si="11"/>
        <v>11.811638729247784</v>
      </c>
      <c r="M51">
        <f t="shared" si="11"/>
        <v>6.1851293511326899</v>
      </c>
      <c r="N51">
        <f t="shared" si="11"/>
        <v>3.2388426918417639</v>
      </c>
      <c r="O51">
        <f t="shared" si="11"/>
        <v>1.6960545323489358</v>
      </c>
      <c r="P51">
        <f t="shared" si="11"/>
        <v>0.8882233368739797</v>
      </c>
      <c r="Q51">
        <f t="shared" si="11"/>
        <v>0.46528892071108163</v>
      </c>
      <c r="R51">
        <f t="shared" si="11"/>
        <v>0.24397970352298565</v>
      </c>
      <c r="S51">
        <f t="shared" si="11"/>
        <v>0.12839502452818344</v>
      </c>
      <c r="T51">
        <f t="shared" si="11"/>
        <v>6.8448189495594031E-2</v>
      </c>
      <c r="U51">
        <f t="shared" si="11"/>
        <v>3.8162236577762049E-2</v>
      </c>
      <c r="V51">
        <f t="shared" si="11"/>
        <v>2.4413252843626963E-2</v>
      </c>
      <c r="W51">
        <f t="shared" si="11"/>
        <v>2.1243345341730224E-2</v>
      </c>
      <c r="X51">
        <f t="shared" si="25"/>
        <v>2.7278887487916587E-2</v>
      </c>
      <c r="Y51">
        <f t="shared" si="25"/>
        <v>4.5135280878866799E-2</v>
      </c>
      <c r="Z51">
        <f t="shared" si="25"/>
        <v>8.2550295983992647E-2</v>
      </c>
      <c r="AA51">
        <f t="shared" si="25"/>
        <v>0.1557371060155153</v>
      </c>
      <c r="AB51">
        <f t="shared" si="21"/>
        <v>0.29640999532042794</v>
      </c>
      <c r="AC51">
        <f t="shared" si="21"/>
        <v>0.56552721593085942</v>
      </c>
      <c r="AD51">
        <f t="shared" si="21"/>
        <v>1.0797062301113298</v>
      </c>
      <c r="AE51">
        <f t="shared" si="21"/>
        <v>2.0617579440067098</v>
      </c>
      <c r="AF51">
        <f t="shared" si="21"/>
        <v>3.937238100304997</v>
      </c>
      <c r="AG51">
        <f t="shared" si="21"/>
        <v>7.5188547667354504</v>
      </c>
      <c r="AH51">
        <f t="shared" si="21"/>
        <v>14.358641832084601</v>
      </c>
      <c r="AI51">
        <f t="shared" si="12"/>
        <v>27.420507024670414</v>
      </c>
      <c r="AJ51">
        <f t="shared" si="12"/>
        <v>52.364591927946741</v>
      </c>
      <c r="AK51">
        <f t="shared" si="13"/>
        <v>100</v>
      </c>
      <c r="AL51" s="24"/>
      <c r="AM51" s="4">
        <v>6.0000000000000005E-2</v>
      </c>
      <c r="AN51" s="15">
        <f t="shared" si="14"/>
        <v>-538200000</v>
      </c>
      <c r="AO51" s="15">
        <f t="shared" si="14"/>
        <v>0</v>
      </c>
      <c r="AP51" s="15">
        <f t="shared" si="14"/>
        <v>0</v>
      </c>
      <c r="AQ51" s="15">
        <f t="shared" si="14"/>
        <v>0</v>
      </c>
      <c r="AR51" s="15">
        <f t="shared" si="14"/>
        <v>0</v>
      </c>
      <c r="AS51" s="15">
        <f t="shared" si="14"/>
        <v>0</v>
      </c>
      <c r="AT51" s="15">
        <f t="shared" si="14"/>
        <v>0</v>
      </c>
      <c r="AU51" s="15">
        <f t="shared" si="14"/>
        <v>0</v>
      </c>
      <c r="AV51" s="15">
        <f t="shared" si="14"/>
        <v>0</v>
      </c>
      <c r="AW51" s="15">
        <f t="shared" si="14"/>
        <v>0</v>
      </c>
      <c r="AX51" s="15">
        <f t="shared" si="14"/>
        <v>0</v>
      </c>
      <c r="AY51" s="15">
        <f t="shared" si="14"/>
        <v>0</v>
      </c>
      <c r="AZ51" s="15">
        <f t="shared" si="14"/>
        <v>0</v>
      </c>
      <c r="BA51" s="15">
        <f t="shared" si="14"/>
        <v>0</v>
      </c>
      <c r="BB51" s="15">
        <f t="shared" si="14"/>
        <v>0</v>
      </c>
      <c r="BC51" s="15">
        <f t="shared" si="14"/>
        <v>0</v>
      </c>
      <c r="BD51" s="15">
        <f t="shared" si="22"/>
        <v>0</v>
      </c>
      <c r="BE51" s="15">
        <f t="shared" si="22"/>
        <v>0</v>
      </c>
      <c r="BF51" s="15">
        <f t="shared" si="22"/>
        <v>0</v>
      </c>
      <c r="BG51" s="15">
        <f t="shared" si="22"/>
        <v>0</v>
      </c>
      <c r="BH51" s="15">
        <f t="shared" si="22"/>
        <v>0</v>
      </c>
      <c r="BI51" s="15">
        <f t="shared" si="22"/>
        <v>0</v>
      </c>
      <c r="BJ51" s="15">
        <f t="shared" si="22"/>
        <v>0</v>
      </c>
      <c r="BK51" s="15">
        <f t="shared" si="22"/>
        <v>0</v>
      </c>
      <c r="BL51" s="15">
        <f t="shared" si="19"/>
        <v>0</v>
      </c>
      <c r="BM51" s="15">
        <f t="shared" si="19"/>
        <v>0</v>
      </c>
      <c r="BN51" s="15">
        <f t="shared" si="19"/>
        <v>0</v>
      </c>
      <c r="BO51" s="15">
        <f t="shared" si="19"/>
        <v>0</v>
      </c>
      <c r="BP51" s="15">
        <f t="shared" si="19"/>
        <v>0</v>
      </c>
      <c r="BQ51" s="15">
        <f t="shared" si="19"/>
        <v>0</v>
      </c>
      <c r="BR51" s="15">
        <f t="shared" si="19"/>
        <v>-179400000</v>
      </c>
      <c r="BT51" s="24"/>
      <c r="BU51" s="4">
        <v>6.0000000000000005E-2</v>
      </c>
      <c r="BV51" s="6">
        <v>0</v>
      </c>
      <c r="BW51" s="6">
        <f t="shared" si="26"/>
        <v>0.41095890410958902</v>
      </c>
      <c r="BX51" s="6">
        <f t="shared" si="26"/>
        <v>0.49446827726349057</v>
      </c>
      <c r="BY51" s="6">
        <f t="shared" si="26"/>
        <v>0.51576565211146774</v>
      </c>
      <c r="BZ51" s="6">
        <f t="shared" si="26"/>
        <v>0.52149397895713612</v>
      </c>
      <c r="CA51" s="6">
        <f t="shared" si="26"/>
        <v>0.52305649933975962</v>
      </c>
      <c r="CB51" s="6">
        <f t="shared" si="26"/>
        <v>0.52348433598989241</v>
      </c>
      <c r="CC51" s="6">
        <f t="shared" si="26"/>
        <v>0.52360160483419294</v>
      </c>
      <c r="CD51" s="6">
        <f t="shared" si="26"/>
        <v>0.52363375707534621</v>
      </c>
      <c r="CE51" s="6">
        <f t="shared" si="26"/>
        <v>0.52364257312109652</v>
      </c>
      <c r="CF51" s="6">
        <f t="shared" si="26"/>
        <v>0.5236449905056163</v>
      </c>
      <c r="CG51" s="6">
        <f t="shared" si="26"/>
        <v>0.52364565336314417</v>
      </c>
      <c r="CH51" s="6">
        <f t="shared" si="26"/>
        <v>0.52364583512190344</v>
      </c>
      <c r="CI51" s="6">
        <f t="shared" si="26"/>
        <v>0.52364588496106157</v>
      </c>
      <c r="CJ51" s="6">
        <f t="shared" si="26"/>
        <v>0.52364589862720901</v>
      </c>
      <c r="CK51" s="6">
        <f t="shared" si="26"/>
        <v>0.52364590237453534</v>
      </c>
      <c r="CL51" s="6">
        <f t="shared" si="26"/>
        <v>0.52364590340207107</v>
      </c>
      <c r="CM51" s="6">
        <f t="shared" si="26"/>
        <v>0.52364590368382657</v>
      </c>
      <c r="CN51" s="6">
        <f t="shared" si="26"/>
        <v>0.52364590376108522</v>
      </c>
      <c r="CO51" s="6">
        <f t="shared" si="26"/>
        <v>0.52364590378227005</v>
      </c>
      <c r="CP51" s="6">
        <f t="shared" si="26"/>
        <v>0.52364590378807896</v>
      </c>
      <c r="CQ51" s="6">
        <f t="shared" si="26"/>
        <v>0.5236459037896718</v>
      </c>
      <c r="CR51" s="6">
        <f t="shared" si="26"/>
        <v>0.52364590379010867</v>
      </c>
      <c r="CS51" s="6">
        <f t="shared" si="26"/>
        <v>0.52364590379022846</v>
      </c>
      <c r="CT51" s="6">
        <f t="shared" si="26"/>
        <v>0.52364590379026121</v>
      </c>
      <c r="CU51" s="6">
        <f t="shared" si="26"/>
        <v>0.52364590379027021</v>
      </c>
      <c r="CV51" s="6">
        <f t="shared" si="26"/>
        <v>0.52364590379027265</v>
      </c>
      <c r="CW51" s="6">
        <f t="shared" si="26"/>
        <v>0.52364590379027331</v>
      </c>
      <c r="CX51" s="6">
        <f t="shared" si="26"/>
        <v>0.52364590379027354</v>
      </c>
      <c r="CY51" s="6">
        <f t="shared" si="26"/>
        <v>0.52364590379027354</v>
      </c>
      <c r="CZ51" s="6">
        <f t="shared" si="16"/>
        <v>100</v>
      </c>
      <c r="DB51" s="24"/>
      <c r="DC51" s="4">
        <v>6.0000000000000005E-2</v>
      </c>
      <c r="DD51" s="6">
        <f t="shared" si="17"/>
        <v>300</v>
      </c>
      <c r="DE51" s="6">
        <f t="shared" si="18"/>
        <v>123.28767123287672</v>
      </c>
      <c r="DF51" s="6">
        <f t="shared" si="18"/>
        <v>60.961842402348154</v>
      </c>
      <c r="DG51" s="6">
        <f t="shared" si="18"/>
        <v>31.442024400563621</v>
      </c>
      <c r="DH51" s="6">
        <f t="shared" si="18"/>
        <v>16.396826411117285</v>
      </c>
      <c r="DI51" s="6">
        <f t="shared" si="18"/>
        <v>8.5764666228807211</v>
      </c>
      <c r="DJ51" s="6">
        <f t="shared" si="18"/>
        <v>4.4896459352181886</v>
      </c>
      <c r="DK51" s="6">
        <f t="shared" si="18"/>
        <v>2.3507858168175546</v>
      </c>
      <c r="DL51" s="6">
        <f t="shared" si="18"/>
        <v>1.2309508093396129</v>
      </c>
      <c r="DM51" s="6">
        <f t="shared" si="18"/>
        <v>0.64457824918809103</v>
      </c>
      <c r="DN51" s="6">
        <f t="shared" si="18"/>
        <v>0.33753017117622475</v>
      </c>
      <c r="DO51" s="6">
        <f t="shared" si="18"/>
        <v>0.17674620701534813</v>
      </c>
      <c r="DP51" s="6">
        <f t="shared" si="18"/>
        <v>9.2552415177180797E-2</v>
      </c>
      <c r="DQ51" s="6">
        <f t="shared" si="18"/>
        <v>4.8464691350738429E-2</v>
      </c>
      <c r="DR51" s="6">
        <f t="shared" si="18"/>
        <v>2.5378336854047744E-2</v>
      </c>
      <c r="DS51" s="6">
        <f t="shared" si="18"/>
        <v>1.3289262102702756E-2</v>
      </c>
      <c r="DT51" s="6">
        <f t="shared" si="18"/>
        <v>6.9588676593166912E-3</v>
      </c>
      <c r="DU51" s="6">
        <f t="shared" si="24"/>
        <v>3.6439825440790436E-3</v>
      </c>
      <c r="DV51" s="6">
        <f t="shared" si="24"/>
        <v>1.9081565325838894E-3</v>
      </c>
      <c r="DW51" s="6">
        <f t="shared" si="24"/>
        <v>9.9919835206293325E-4</v>
      </c>
      <c r="DX51" s="6">
        <f t="shared" si="24"/>
        <v>5.2322612412955387E-4</v>
      </c>
      <c r="DY51" s="6">
        <f t="shared" si="24"/>
        <v>2.7398521665618727E-4</v>
      </c>
      <c r="DZ51" s="6">
        <f t="shared" si="24"/>
        <v>1.434712364010579E-4</v>
      </c>
      <c r="EA51" s="6">
        <f t="shared" si="24"/>
        <v>7.5128125253133484E-5</v>
      </c>
      <c r="EB51" s="6">
        <f t="shared" si="24"/>
        <v>3.9340535048245028E-5</v>
      </c>
      <c r="EC51" s="6">
        <f t="shared" si="20"/>
        <v>2.0600510030931069E-5</v>
      </c>
      <c r="ED51" s="6">
        <f t="shared" si="20"/>
        <v>1.0787372693687478E-5</v>
      </c>
      <c r="EE51" s="6">
        <f t="shared" si="20"/>
        <v>5.6487635237084939E-6</v>
      </c>
      <c r="EF51" s="6">
        <f t="shared" si="20"/>
        <v>2.9579518806698644E-6</v>
      </c>
      <c r="EG51" s="6">
        <f t="shared" si="20"/>
        <v>1.5489193859215107E-6</v>
      </c>
      <c r="EH51" s="6">
        <f t="shared" si="20"/>
        <v>22.691323308663819</v>
      </c>
    </row>
    <row r="52" spans="5:138">
      <c r="E52" s="26"/>
      <c r="F52" s="4">
        <v>5.6666666666666671E-2</v>
      </c>
      <c r="G52">
        <f t="shared" si="10"/>
        <v>300</v>
      </c>
      <c r="H52">
        <f t="shared" si="11"/>
        <v>157.09377165338856</v>
      </c>
      <c r="I52">
        <f t="shared" si="11"/>
        <v>82.261511023245447</v>
      </c>
      <c r="J52">
        <f t="shared" si="11"/>
        <v>43.075905169842066</v>
      </c>
      <c r="K52">
        <f t="shared" si="11"/>
        <v>22.556524890036922</v>
      </c>
      <c r="L52">
        <f t="shared" si="11"/>
        <v>11.811638729247784</v>
      </c>
      <c r="M52">
        <f t="shared" si="11"/>
        <v>6.1851293511326899</v>
      </c>
      <c r="N52">
        <f t="shared" si="11"/>
        <v>3.2388426918417639</v>
      </c>
      <c r="O52">
        <f t="shared" si="11"/>
        <v>1.6960545323489358</v>
      </c>
      <c r="P52">
        <f t="shared" si="11"/>
        <v>0.8882233368739797</v>
      </c>
      <c r="Q52">
        <f t="shared" si="11"/>
        <v>0.46528892071108163</v>
      </c>
      <c r="R52">
        <f t="shared" si="11"/>
        <v>0.24397970352298565</v>
      </c>
      <c r="S52">
        <f t="shared" si="11"/>
        <v>0.12839502452818344</v>
      </c>
      <c r="T52">
        <f t="shared" si="11"/>
        <v>6.8448189495594031E-2</v>
      </c>
      <c r="U52">
        <f t="shared" si="11"/>
        <v>3.8162236577762049E-2</v>
      </c>
      <c r="V52">
        <f t="shared" si="11"/>
        <v>2.4413252843626963E-2</v>
      </c>
      <c r="W52">
        <f t="shared" si="11"/>
        <v>2.1243345341730224E-2</v>
      </c>
      <c r="X52">
        <f t="shared" si="25"/>
        <v>2.7278887487916587E-2</v>
      </c>
      <c r="Y52">
        <f t="shared" si="25"/>
        <v>4.5135280878866799E-2</v>
      </c>
      <c r="Z52">
        <f t="shared" si="25"/>
        <v>8.2550295983992647E-2</v>
      </c>
      <c r="AA52">
        <f t="shared" si="25"/>
        <v>0.1557371060155153</v>
      </c>
      <c r="AB52">
        <f t="shared" si="21"/>
        <v>0.29640999532042794</v>
      </c>
      <c r="AC52">
        <f t="shared" si="21"/>
        <v>0.56552721593085942</v>
      </c>
      <c r="AD52">
        <f t="shared" si="21"/>
        <v>1.0797062301113298</v>
      </c>
      <c r="AE52">
        <f t="shared" si="21"/>
        <v>2.0617579440067098</v>
      </c>
      <c r="AF52">
        <f t="shared" si="21"/>
        <v>3.937238100304997</v>
      </c>
      <c r="AG52">
        <f t="shared" si="21"/>
        <v>7.5188547667354504</v>
      </c>
      <c r="AH52">
        <f t="shared" si="21"/>
        <v>14.358641832084601</v>
      </c>
      <c r="AI52">
        <f t="shared" si="12"/>
        <v>27.420507024670414</v>
      </c>
      <c r="AJ52">
        <f t="shared" si="12"/>
        <v>52.364591927946741</v>
      </c>
      <c r="AK52">
        <f t="shared" si="13"/>
        <v>100</v>
      </c>
      <c r="AL52" s="24"/>
      <c r="AM52" s="4">
        <v>5.6666666666666671E-2</v>
      </c>
      <c r="AN52" s="15">
        <f t="shared" si="14"/>
        <v>-538200000</v>
      </c>
      <c r="AO52" s="15">
        <f t="shared" si="14"/>
        <v>0</v>
      </c>
      <c r="AP52" s="15">
        <f t="shared" si="14"/>
        <v>0</v>
      </c>
      <c r="AQ52" s="15">
        <f t="shared" si="14"/>
        <v>0</v>
      </c>
      <c r="AR52" s="15">
        <f t="shared" si="14"/>
        <v>0</v>
      </c>
      <c r="AS52" s="15">
        <f t="shared" si="14"/>
        <v>0</v>
      </c>
      <c r="AT52" s="15">
        <f t="shared" si="14"/>
        <v>0</v>
      </c>
      <c r="AU52" s="15">
        <f t="shared" si="14"/>
        <v>0</v>
      </c>
      <c r="AV52" s="15">
        <f t="shared" si="14"/>
        <v>0</v>
      </c>
      <c r="AW52" s="15">
        <f t="shared" si="14"/>
        <v>0</v>
      </c>
      <c r="AX52" s="15">
        <f t="shared" si="14"/>
        <v>0</v>
      </c>
      <c r="AY52" s="15">
        <f t="shared" si="14"/>
        <v>0</v>
      </c>
      <c r="AZ52" s="15">
        <f t="shared" si="14"/>
        <v>0</v>
      </c>
      <c r="BA52" s="15">
        <f t="shared" si="14"/>
        <v>0</v>
      </c>
      <c r="BB52" s="15">
        <f t="shared" si="14"/>
        <v>0</v>
      </c>
      <c r="BC52" s="15">
        <f t="shared" si="14"/>
        <v>0</v>
      </c>
      <c r="BD52" s="15">
        <f t="shared" si="22"/>
        <v>0</v>
      </c>
      <c r="BE52" s="15">
        <f t="shared" si="22"/>
        <v>0</v>
      </c>
      <c r="BF52" s="15">
        <f t="shared" si="22"/>
        <v>0</v>
      </c>
      <c r="BG52" s="15">
        <f t="shared" si="22"/>
        <v>0</v>
      </c>
      <c r="BH52" s="15">
        <f t="shared" si="22"/>
        <v>0</v>
      </c>
      <c r="BI52" s="15">
        <f t="shared" si="22"/>
        <v>0</v>
      </c>
      <c r="BJ52" s="15">
        <f t="shared" si="22"/>
        <v>0</v>
      </c>
      <c r="BK52" s="15">
        <f t="shared" si="22"/>
        <v>0</v>
      </c>
      <c r="BL52" s="15">
        <f t="shared" si="19"/>
        <v>0</v>
      </c>
      <c r="BM52" s="15">
        <f t="shared" si="19"/>
        <v>0</v>
      </c>
      <c r="BN52" s="15">
        <f t="shared" si="19"/>
        <v>0</v>
      </c>
      <c r="BO52" s="15">
        <f t="shared" si="19"/>
        <v>0</v>
      </c>
      <c r="BP52" s="15">
        <f t="shared" si="19"/>
        <v>0</v>
      </c>
      <c r="BQ52" s="15">
        <f t="shared" si="19"/>
        <v>0</v>
      </c>
      <c r="BR52" s="15">
        <f t="shared" si="19"/>
        <v>-179400000</v>
      </c>
      <c r="BT52" s="24"/>
      <c r="BU52" s="4">
        <v>5.6666666666666671E-2</v>
      </c>
      <c r="BV52" s="6">
        <v>0</v>
      </c>
      <c r="BW52" s="6">
        <f t="shared" si="26"/>
        <v>0.41095890410958902</v>
      </c>
      <c r="BX52" s="6">
        <f t="shared" si="26"/>
        <v>0.49446827726349057</v>
      </c>
      <c r="BY52" s="6">
        <f t="shared" si="26"/>
        <v>0.51576565211146774</v>
      </c>
      <c r="BZ52" s="6">
        <f t="shared" si="26"/>
        <v>0.52149397895713612</v>
      </c>
      <c r="CA52" s="6">
        <f t="shared" si="26"/>
        <v>0.52305649933975962</v>
      </c>
      <c r="CB52" s="6">
        <f t="shared" si="26"/>
        <v>0.52348433598989241</v>
      </c>
      <c r="CC52" s="6">
        <f t="shared" si="26"/>
        <v>0.52360160483419294</v>
      </c>
      <c r="CD52" s="6">
        <f t="shared" si="26"/>
        <v>0.52363375707534621</v>
      </c>
      <c r="CE52" s="6">
        <f t="shared" si="26"/>
        <v>0.52364257312109652</v>
      </c>
      <c r="CF52" s="6">
        <f t="shared" si="26"/>
        <v>0.5236449905056163</v>
      </c>
      <c r="CG52" s="6">
        <f t="shared" si="26"/>
        <v>0.52364565336314417</v>
      </c>
      <c r="CH52" s="6">
        <f t="shared" si="26"/>
        <v>0.52364583512190344</v>
      </c>
      <c r="CI52" s="6">
        <f t="shared" si="26"/>
        <v>0.52364588496106157</v>
      </c>
      <c r="CJ52" s="6">
        <f t="shared" si="26"/>
        <v>0.52364589862720901</v>
      </c>
      <c r="CK52" s="6">
        <f t="shared" si="26"/>
        <v>0.52364590237453534</v>
      </c>
      <c r="CL52" s="6">
        <f t="shared" si="26"/>
        <v>0.52364590340207107</v>
      </c>
      <c r="CM52" s="6">
        <f t="shared" si="26"/>
        <v>0.52364590368382657</v>
      </c>
      <c r="CN52" s="6">
        <f t="shared" si="26"/>
        <v>0.52364590376108522</v>
      </c>
      <c r="CO52" s="6">
        <f t="shared" si="26"/>
        <v>0.52364590378227005</v>
      </c>
      <c r="CP52" s="6">
        <f t="shared" si="26"/>
        <v>0.52364590378807896</v>
      </c>
      <c r="CQ52" s="6">
        <f t="shared" si="26"/>
        <v>0.5236459037896718</v>
      </c>
      <c r="CR52" s="6">
        <f t="shared" si="26"/>
        <v>0.52364590379010867</v>
      </c>
      <c r="CS52" s="6">
        <f t="shared" si="26"/>
        <v>0.52364590379022846</v>
      </c>
      <c r="CT52" s="6">
        <f t="shared" si="26"/>
        <v>0.52364590379026121</v>
      </c>
      <c r="CU52" s="6">
        <f t="shared" si="26"/>
        <v>0.52364590379027021</v>
      </c>
      <c r="CV52" s="6">
        <f t="shared" si="26"/>
        <v>0.52364590379027265</v>
      </c>
      <c r="CW52" s="6">
        <f t="shared" si="26"/>
        <v>0.52364590379027331</v>
      </c>
      <c r="CX52" s="6">
        <f t="shared" si="26"/>
        <v>0.52364590379027354</v>
      </c>
      <c r="CY52" s="6">
        <f t="shared" si="26"/>
        <v>0.52364590379027354</v>
      </c>
      <c r="CZ52" s="6">
        <f t="shared" si="16"/>
        <v>100</v>
      </c>
      <c r="DB52" s="24"/>
      <c r="DC52" s="4">
        <v>5.6666666666666671E-2</v>
      </c>
      <c r="DD52" s="6">
        <f t="shared" si="17"/>
        <v>300</v>
      </c>
      <c r="DE52" s="6">
        <f t="shared" si="18"/>
        <v>123.28767123287672</v>
      </c>
      <c r="DF52" s="6">
        <f t="shared" si="18"/>
        <v>60.961842402348154</v>
      </c>
      <c r="DG52" s="6">
        <f t="shared" si="18"/>
        <v>31.442024400563621</v>
      </c>
      <c r="DH52" s="6">
        <f t="shared" si="18"/>
        <v>16.396826411117285</v>
      </c>
      <c r="DI52" s="6">
        <f t="shared" si="18"/>
        <v>8.5764666228807211</v>
      </c>
      <c r="DJ52" s="6">
        <f t="shared" si="18"/>
        <v>4.4896459352181886</v>
      </c>
      <c r="DK52" s="6">
        <f t="shared" si="18"/>
        <v>2.3507858168175546</v>
      </c>
      <c r="DL52" s="6">
        <f t="shared" si="18"/>
        <v>1.2309508093396129</v>
      </c>
      <c r="DM52" s="6">
        <f t="shared" si="18"/>
        <v>0.64457824918809103</v>
      </c>
      <c r="DN52" s="6">
        <f t="shared" si="18"/>
        <v>0.33753017117622475</v>
      </c>
      <c r="DO52" s="6">
        <f t="shared" si="18"/>
        <v>0.17674620701534813</v>
      </c>
      <c r="DP52" s="6">
        <f t="shared" si="18"/>
        <v>9.2552415177180797E-2</v>
      </c>
      <c r="DQ52" s="6">
        <f t="shared" si="18"/>
        <v>4.8464691350738429E-2</v>
      </c>
      <c r="DR52" s="6">
        <f t="shared" si="18"/>
        <v>2.5378336854047744E-2</v>
      </c>
      <c r="DS52" s="6">
        <f t="shared" si="18"/>
        <v>1.3289262102702756E-2</v>
      </c>
      <c r="DT52" s="6">
        <f t="shared" si="18"/>
        <v>6.9588676593166912E-3</v>
      </c>
      <c r="DU52" s="6">
        <f t="shared" si="24"/>
        <v>3.6439825440790436E-3</v>
      </c>
      <c r="DV52" s="6">
        <f t="shared" si="24"/>
        <v>1.9081565325838894E-3</v>
      </c>
      <c r="DW52" s="6">
        <f t="shared" si="24"/>
        <v>9.9919835206293325E-4</v>
      </c>
      <c r="DX52" s="6">
        <f t="shared" si="24"/>
        <v>5.2322612412955387E-4</v>
      </c>
      <c r="DY52" s="6">
        <f t="shared" si="24"/>
        <v>2.7398521665618727E-4</v>
      </c>
      <c r="DZ52" s="6">
        <f t="shared" si="24"/>
        <v>1.434712364010579E-4</v>
      </c>
      <c r="EA52" s="6">
        <f t="shared" si="24"/>
        <v>7.5128125253133484E-5</v>
      </c>
      <c r="EB52" s="6">
        <f t="shared" si="24"/>
        <v>3.9340535048245028E-5</v>
      </c>
      <c r="EC52" s="6">
        <f t="shared" si="20"/>
        <v>2.0600510030931069E-5</v>
      </c>
      <c r="ED52" s="6">
        <f t="shared" si="20"/>
        <v>1.0787372693687478E-5</v>
      </c>
      <c r="EE52" s="6">
        <f t="shared" si="20"/>
        <v>5.6487635237084939E-6</v>
      </c>
      <c r="EF52" s="6">
        <f t="shared" si="20"/>
        <v>2.9579518806698644E-6</v>
      </c>
      <c r="EG52" s="6">
        <f t="shared" si="20"/>
        <v>1.5489193859215107E-6</v>
      </c>
      <c r="EH52" s="6">
        <f t="shared" si="20"/>
        <v>22.691323308663819</v>
      </c>
    </row>
    <row r="53" spans="5:138">
      <c r="E53" s="26"/>
      <c r="F53" s="4">
        <v>5.3333333333333337E-2</v>
      </c>
      <c r="G53">
        <f t="shared" si="10"/>
        <v>300</v>
      </c>
      <c r="H53">
        <f t="shared" si="11"/>
        <v>157.09377165338856</v>
      </c>
      <c r="I53">
        <f t="shared" si="11"/>
        <v>82.261511023245447</v>
      </c>
      <c r="J53">
        <f t="shared" si="11"/>
        <v>43.075905169842066</v>
      </c>
      <c r="K53">
        <f t="shared" si="11"/>
        <v>22.556524890036922</v>
      </c>
      <c r="L53">
        <f t="shared" si="11"/>
        <v>11.811638729247784</v>
      </c>
      <c r="M53">
        <f t="shared" si="11"/>
        <v>6.1851293511326899</v>
      </c>
      <c r="N53">
        <f t="shared" si="11"/>
        <v>3.2388426918417639</v>
      </c>
      <c r="O53">
        <f t="shared" si="11"/>
        <v>1.6960545323489358</v>
      </c>
      <c r="P53">
        <f t="shared" si="11"/>
        <v>0.8882233368739797</v>
      </c>
      <c r="Q53">
        <f t="shared" si="11"/>
        <v>0.46528892071108163</v>
      </c>
      <c r="R53">
        <f t="shared" si="11"/>
        <v>0.24397970352298565</v>
      </c>
      <c r="S53">
        <f t="shared" si="11"/>
        <v>0.12839502452818344</v>
      </c>
      <c r="T53">
        <f t="shared" si="11"/>
        <v>6.8448189495594031E-2</v>
      </c>
      <c r="U53">
        <f t="shared" si="11"/>
        <v>3.8162236577762049E-2</v>
      </c>
      <c r="V53">
        <f t="shared" si="11"/>
        <v>2.4413252843626963E-2</v>
      </c>
      <c r="W53">
        <f t="shared" si="11"/>
        <v>2.1243345341730224E-2</v>
      </c>
      <c r="X53">
        <f t="shared" si="25"/>
        <v>2.7278887487916587E-2</v>
      </c>
      <c r="Y53">
        <f t="shared" si="25"/>
        <v>4.5135280878866799E-2</v>
      </c>
      <c r="Z53">
        <f t="shared" si="25"/>
        <v>8.2550295983992647E-2</v>
      </c>
      <c r="AA53">
        <f t="shared" si="25"/>
        <v>0.1557371060155153</v>
      </c>
      <c r="AB53">
        <f t="shared" si="21"/>
        <v>0.29640999532042794</v>
      </c>
      <c r="AC53">
        <f t="shared" si="21"/>
        <v>0.56552721593085942</v>
      </c>
      <c r="AD53">
        <f t="shared" si="21"/>
        <v>1.0797062301113298</v>
      </c>
      <c r="AE53">
        <f t="shared" si="21"/>
        <v>2.0617579440067098</v>
      </c>
      <c r="AF53">
        <f t="shared" si="21"/>
        <v>3.937238100304997</v>
      </c>
      <c r="AG53">
        <f t="shared" si="21"/>
        <v>7.5188547667354504</v>
      </c>
      <c r="AH53">
        <f t="shared" si="21"/>
        <v>14.358641832084601</v>
      </c>
      <c r="AI53">
        <f t="shared" si="12"/>
        <v>27.420507024670414</v>
      </c>
      <c r="AJ53">
        <f t="shared" si="12"/>
        <v>52.364591927946741</v>
      </c>
      <c r="AK53">
        <f t="shared" si="13"/>
        <v>100</v>
      </c>
      <c r="AL53" s="24"/>
      <c r="AM53" s="4">
        <v>5.3333333333333337E-2</v>
      </c>
      <c r="AN53" s="15">
        <f t="shared" si="14"/>
        <v>-538200000</v>
      </c>
      <c r="AO53" s="15">
        <f t="shared" si="14"/>
        <v>0</v>
      </c>
      <c r="AP53" s="15">
        <f t="shared" si="14"/>
        <v>0</v>
      </c>
      <c r="AQ53" s="15">
        <f t="shared" si="14"/>
        <v>0</v>
      </c>
      <c r="AR53" s="15">
        <f t="shared" si="14"/>
        <v>0</v>
      </c>
      <c r="AS53" s="15">
        <f t="shared" si="14"/>
        <v>0</v>
      </c>
      <c r="AT53" s="15">
        <f t="shared" si="14"/>
        <v>0</v>
      </c>
      <c r="AU53" s="15">
        <f t="shared" si="14"/>
        <v>0</v>
      </c>
      <c r="AV53" s="15">
        <f t="shared" si="14"/>
        <v>0</v>
      </c>
      <c r="AW53" s="15">
        <f t="shared" si="14"/>
        <v>0</v>
      </c>
      <c r="AX53" s="15">
        <f t="shared" si="14"/>
        <v>0</v>
      </c>
      <c r="AY53" s="15">
        <f t="shared" si="14"/>
        <v>0</v>
      </c>
      <c r="AZ53" s="15">
        <f t="shared" si="14"/>
        <v>0</v>
      </c>
      <c r="BA53" s="15">
        <f t="shared" si="14"/>
        <v>0</v>
      </c>
      <c r="BB53" s="15">
        <f t="shared" si="14"/>
        <v>0</v>
      </c>
      <c r="BC53" s="15">
        <f t="shared" si="14"/>
        <v>0</v>
      </c>
      <c r="BD53" s="15">
        <f t="shared" si="22"/>
        <v>0</v>
      </c>
      <c r="BE53" s="15">
        <f t="shared" si="22"/>
        <v>0</v>
      </c>
      <c r="BF53" s="15">
        <f t="shared" si="22"/>
        <v>0</v>
      </c>
      <c r="BG53" s="15">
        <f t="shared" si="22"/>
        <v>0</v>
      </c>
      <c r="BH53" s="15">
        <f t="shared" si="22"/>
        <v>0</v>
      </c>
      <c r="BI53" s="15">
        <f t="shared" si="22"/>
        <v>0</v>
      </c>
      <c r="BJ53" s="15">
        <f t="shared" si="22"/>
        <v>0</v>
      </c>
      <c r="BK53" s="15">
        <f t="shared" si="22"/>
        <v>0</v>
      </c>
      <c r="BL53" s="15">
        <f t="shared" si="19"/>
        <v>0</v>
      </c>
      <c r="BM53" s="15">
        <f t="shared" si="19"/>
        <v>0</v>
      </c>
      <c r="BN53" s="15">
        <f t="shared" si="19"/>
        <v>0</v>
      </c>
      <c r="BO53" s="15">
        <f t="shared" si="19"/>
        <v>0</v>
      </c>
      <c r="BP53" s="15">
        <f t="shared" si="19"/>
        <v>0</v>
      </c>
      <c r="BQ53" s="15">
        <f t="shared" si="19"/>
        <v>0</v>
      </c>
      <c r="BR53" s="15">
        <f t="shared" si="19"/>
        <v>-179400000</v>
      </c>
      <c r="BT53" s="24"/>
      <c r="BU53" s="4">
        <v>5.3333333333333337E-2</v>
      </c>
      <c r="BV53" s="6">
        <v>0</v>
      </c>
      <c r="BW53" s="6">
        <f t="shared" si="26"/>
        <v>0.41095890410958902</v>
      </c>
      <c r="BX53" s="6">
        <f t="shared" si="26"/>
        <v>0.49446827726349057</v>
      </c>
      <c r="BY53" s="6">
        <f t="shared" si="26"/>
        <v>0.51576565211146774</v>
      </c>
      <c r="BZ53" s="6">
        <f t="shared" si="26"/>
        <v>0.52149397895713612</v>
      </c>
      <c r="CA53" s="6">
        <f t="shared" si="26"/>
        <v>0.52305649933975962</v>
      </c>
      <c r="CB53" s="6">
        <f t="shared" si="26"/>
        <v>0.52348433598989241</v>
      </c>
      <c r="CC53" s="6">
        <f t="shared" si="26"/>
        <v>0.52360160483419294</v>
      </c>
      <c r="CD53" s="6">
        <f t="shared" si="26"/>
        <v>0.52363375707534621</v>
      </c>
      <c r="CE53" s="6">
        <f t="shared" si="26"/>
        <v>0.52364257312109652</v>
      </c>
      <c r="CF53" s="6">
        <f t="shared" si="26"/>
        <v>0.5236449905056163</v>
      </c>
      <c r="CG53" s="6">
        <f t="shared" si="26"/>
        <v>0.52364565336314417</v>
      </c>
      <c r="CH53" s="6">
        <f t="shared" si="26"/>
        <v>0.52364583512190344</v>
      </c>
      <c r="CI53" s="6">
        <f t="shared" si="26"/>
        <v>0.52364588496106157</v>
      </c>
      <c r="CJ53" s="6">
        <f t="shared" si="26"/>
        <v>0.52364589862720901</v>
      </c>
      <c r="CK53" s="6">
        <f t="shared" si="26"/>
        <v>0.52364590237453534</v>
      </c>
      <c r="CL53" s="6">
        <f t="shared" si="26"/>
        <v>0.52364590340207107</v>
      </c>
      <c r="CM53" s="6">
        <f t="shared" si="26"/>
        <v>0.52364590368382657</v>
      </c>
      <c r="CN53" s="6">
        <f t="shared" si="26"/>
        <v>0.52364590376108522</v>
      </c>
      <c r="CO53" s="6">
        <f t="shared" si="26"/>
        <v>0.52364590378227005</v>
      </c>
      <c r="CP53" s="6">
        <f t="shared" si="26"/>
        <v>0.52364590378807896</v>
      </c>
      <c r="CQ53" s="6">
        <f t="shared" si="26"/>
        <v>0.5236459037896718</v>
      </c>
      <c r="CR53" s="6">
        <f t="shared" si="26"/>
        <v>0.52364590379010867</v>
      </c>
      <c r="CS53" s="6">
        <f t="shared" si="26"/>
        <v>0.52364590379022846</v>
      </c>
      <c r="CT53" s="6">
        <f t="shared" si="26"/>
        <v>0.52364590379026121</v>
      </c>
      <c r="CU53" s="6">
        <f t="shared" si="26"/>
        <v>0.52364590379027021</v>
      </c>
      <c r="CV53" s="6">
        <f t="shared" si="26"/>
        <v>0.52364590379027265</v>
      </c>
      <c r="CW53" s="6">
        <f t="shared" si="26"/>
        <v>0.52364590379027331</v>
      </c>
      <c r="CX53" s="6">
        <f t="shared" si="26"/>
        <v>0.52364590379027354</v>
      </c>
      <c r="CY53" s="6">
        <f t="shared" si="26"/>
        <v>0.52364590379027354</v>
      </c>
      <c r="CZ53" s="6">
        <f t="shared" si="16"/>
        <v>100</v>
      </c>
      <c r="DB53" s="24"/>
      <c r="DC53" s="4">
        <v>5.3333333333333337E-2</v>
      </c>
      <c r="DD53" s="6">
        <f t="shared" si="17"/>
        <v>300</v>
      </c>
      <c r="DE53" s="6">
        <f t="shared" si="18"/>
        <v>123.28767123287672</v>
      </c>
      <c r="DF53" s="6">
        <f t="shared" si="18"/>
        <v>60.961842402348154</v>
      </c>
      <c r="DG53" s="6">
        <f t="shared" si="18"/>
        <v>31.442024400563621</v>
      </c>
      <c r="DH53" s="6">
        <f t="shared" si="18"/>
        <v>16.396826411117285</v>
      </c>
      <c r="DI53" s="6">
        <f t="shared" si="18"/>
        <v>8.5764666228807211</v>
      </c>
      <c r="DJ53" s="6">
        <f t="shared" si="18"/>
        <v>4.4896459352181886</v>
      </c>
      <c r="DK53" s="6">
        <f t="shared" si="18"/>
        <v>2.3507858168175546</v>
      </c>
      <c r="DL53" s="6">
        <f t="shared" si="18"/>
        <v>1.2309508093396129</v>
      </c>
      <c r="DM53" s="6">
        <f t="shared" si="18"/>
        <v>0.64457824918809103</v>
      </c>
      <c r="DN53" s="6">
        <f t="shared" si="18"/>
        <v>0.33753017117622475</v>
      </c>
      <c r="DO53" s="6">
        <f t="shared" si="18"/>
        <v>0.17674620701534813</v>
      </c>
      <c r="DP53" s="6">
        <f t="shared" si="18"/>
        <v>9.2552415177180797E-2</v>
      </c>
      <c r="DQ53" s="6">
        <f t="shared" si="18"/>
        <v>4.8464691350738429E-2</v>
      </c>
      <c r="DR53" s="6">
        <f t="shared" si="18"/>
        <v>2.5378336854047744E-2</v>
      </c>
      <c r="DS53" s="6">
        <f t="shared" si="18"/>
        <v>1.3289262102702756E-2</v>
      </c>
      <c r="DT53" s="6">
        <f t="shared" si="18"/>
        <v>6.9588676593166912E-3</v>
      </c>
      <c r="DU53" s="6">
        <f t="shared" si="24"/>
        <v>3.6439825440790436E-3</v>
      </c>
      <c r="DV53" s="6">
        <f t="shared" si="24"/>
        <v>1.9081565325838894E-3</v>
      </c>
      <c r="DW53" s="6">
        <f t="shared" si="24"/>
        <v>9.9919835206293325E-4</v>
      </c>
      <c r="DX53" s="6">
        <f t="shared" si="24"/>
        <v>5.2322612412955387E-4</v>
      </c>
      <c r="DY53" s="6">
        <f t="shared" si="24"/>
        <v>2.7398521665618727E-4</v>
      </c>
      <c r="DZ53" s="6">
        <f t="shared" si="24"/>
        <v>1.434712364010579E-4</v>
      </c>
      <c r="EA53" s="6">
        <f t="shared" si="24"/>
        <v>7.5128125253133484E-5</v>
      </c>
      <c r="EB53" s="6">
        <f t="shared" si="24"/>
        <v>3.9340535048245028E-5</v>
      </c>
      <c r="EC53" s="6">
        <f t="shared" si="20"/>
        <v>2.0600510030931069E-5</v>
      </c>
      <c r="ED53" s="6">
        <f t="shared" si="20"/>
        <v>1.0787372693687478E-5</v>
      </c>
      <c r="EE53" s="6">
        <f t="shared" si="20"/>
        <v>5.6487635237084939E-6</v>
      </c>
      <c r="EF53" s="6">
        <f t="shared" si="20"/>
        <v>2.9579518806698644E-6</v>
      </c>
      <c r="EG53" s="6">
        <f t="shared" si="20"/>
        <v>1.5489193859215107E-6</v>
      </c>
      <c r="EH53" s="6">
        <f t="shared" si="20"/>
        <v>22.691323308663819</v>
      </c>
    </row>
    <row r="54" spans="5:138">
      <c r="E54" s="26"/>
      <c r="F54" s="4">
        <v>0.05</v>
      </c>
      <c r="G54">
        <f t="shared" si="10"/>
        <v>300</v>
      </c>
      <c r="H54">
        <f t="shared" si="11"/>
        <v>157.09377165338856</v>
      </c>
      <c r="I54">
        <f t="shared" si="11"/>
        <v>82.261511023245447</v>
      </c>
      <c r="J54">
        <f t="shared" si="11"/>
        <v>43.075905169842066</v>
      </c>
      <c r="K54">
        <f t="shared" si="11"/>
        <v>22.556524890036922</v>
      </c>
      <c r="L54">
        <f t="shared" si="11"/>
        <v>11.811638729247784</v>
      </c>
      <c r="M54">
        <f t="shared" si="11"/>
        <v>6.1851293511326899</v>
      </c>
      <c r="N54">
        <f t="shared" si="11"/>
        <v>3.2388426918417639</v>
      </c>
      <c r="O54">
        <f t="shared" si="11"/>
        <v>1.6960545323489358</v>
      </c>
      <c r="P54">
        <f t="shared" si="11"/>
        <v>0.8882233368739797</v>
      </c>
      <c r="Q54">
        <f t="shared" si="11"/>
        <v>0.46528892071108163</v>
      </c>
      <c r="R54">
        <f t="shared" si="11"/>
        <v>0.24397970352298565</v>
      </c>
      <c r="S54">
        <f t="shared" si="11"/>
        <v>0.12839502452818344</v>
      </c>
      <c r="T54">
        <f t="shared" si="11"/>
        <v>6.8448189495594031E-2</v>
      </c>
      <c r="U54">
        <f t="shared" si="11"/>
        <v>3.8162236577762049E-2</v>
      </c>
      <c r="V54">
        <f t="shared" si="11"/>
        <v>2.4413252843626963E-2</v>
      </c>
      <c r="W54">
        <f t="shared" si="11"/>
        <v>2.1243345341730224E-2</v>
      </c>
      <c r="X54">
        <f t="shared" si="25"/>
        <v>2.7278887487916587E-2</v>
      </c>
      <c r="Y54">
        <f t="shared" si="25"/>
        <v>4.5135280878866799E-2</v>
      </c>
      <c r="Z54">
        <f t="shared" si="25"/>
        <v>8.2550295983992647E-2</v>
      </c>
      <c r="AA54">
        <f t="shared" si="25"/>
        <v>0.1557371060155153</v>
      </c>
      <c r="AB54">
        <f t="shared" si="21"/>
        <v>0.29640999532042794</v>
      </c>
      <c r="AC54">
        <f t="shared" si="21"/>
        <v>0.56552721593085942</v>
      </c>
      <c r="AD54">
        <f t="shared" si="21"/>
        <v>1.0797062301113298</v>
      </c>
      <c r="AE54">
        <f t="shared" si="21"/>
        <v>2.0617579440067098</v>
      </c>
      <c r="AF54">
        <f t="shared" si="21"/>
        <v>3.937238100304997</v>
      </c>
      <c r="AG54">
        <f t="shared" si="21"/>
        <v>7.5188547667354504</v>
      </c>
      <c r="AH54">
        <f t="shared" si="21"/>
        <v>14.358641832084601</v>
      </c>
      <c r="AI54">
        <f t="shared" si="12"/>
        <v>27.420507024670414</v>
      </c>
      <c r="AJ54">
        <f t="shared" si="12"/>
        <v>52.364591927946741</v>
      </c>
      <c r="AK54">
        <f t="shared" si="13"/>
        <v>100</v>
      </c>
      <c r="AL54" s="24"/>
      <c r="AM54" s="4">
        <v>0.05</v>
      </c>
      <c r="AN54" s="15">
        <f t="shared" si="14"/>
        <v>-538200000</v>
      </c>
      <c r="AO54" s="15">
        <f t="shared" si="14"/>
        <v>0</v>
      </c>
      <c r="AP54" s="15">
        <f t="shared" si="14"/>
        <v>0</v>
      </c>
      <c r="AQ54" s="15">
        <f t="shared" si="14"/>
        <v>0</v>
      </c>
      <c r="AR54" s="15">
        <f t="shared" si="14"/>
        <v>0</v>
      </c>
      <c r="AS54" s="15">
        <f t="shared" si="14"/>
        <v>0</v>
      </c>
      <c r="AT54" s="15">
        <f t="shared" si="14"/>
        <v>0</v>
      </c>
      <c r="AU54" s="15">
        <f t="shared" si="14"/>
        <v>0</v>
      </c>
      <c r="AV54" s="15">
        <f t="shared" si="14"/>
        <v>0</v>
      </c>
      <c r="AW54" s="15">
        <f t="shared" si="14"/>
        <v>0</v>
      </c>
      <c r="AX54" s="15">
        <f t="shared" si="14"/>
        <v>0</v>
      </c>
      <c r="AY54" s="15">
        <f t="shared" si="14"/>
        <v>0</v>
      </c>
      <c r="AZ54" s="15">
        <f t="shared" si="14"/>
        <v>0</v>
      </c>
      <c r="BA54" s="15">
        <f t="shared" si="14"/>
        <v>0</v>
      </c>
      <c r="BB54" s="15">
        <f t="shared" si="14"/>
        <v>0</v>
      </c>
      <c r="BC54" s="15">
        <f t="shared" si="14"/>
        <v>0</v>
      </c>
      <c r="BD54" s="15">
        <f t="shared" si="22"/>
        <v>0</v>
      </c>
      <c r="BE54" s="15">
        <f t="shared" si="22"/>
        <v>0</v>
      </c>
      <c r="BF54" s="15">
        <f t="shared" si="22"/>
        <v>0</v>
      </c>
      <c r="BG54" s="15">
        <f t="shared" si="22"/>
        <v>0</v>
      </c>
      <c r="BH54" s="15">
        <f t="shared" si="22"/>
        <v>0</v>
      </c>
      <c r="BI54" s="15">
        <f t="shared" si="22"/>
        <v>0</v>
      </c>
      <c r="BJ54" s="15">
        <f t="shared" si="22"/>
        <v>0</v>
      </c>
      <c r="BK54" s="15">
        <f t="shared" si="22"/>
        <v>0</v>
      </c>
      <c r="BL54" s="15">
        <f t="shared" si="19"/>
        <v>0</v>
      </c>
      <c r="BM54" s="15">
        <f t="shared" si="19"/>
        <v>0</v>
      </c>
      <c r="BN54" s="15">
        <f t="shared" si="19"/>
        <v>0</v>
      </c>
      <c r="BO54" s="15">
        <f t="shared" si="19"/>
        <v>0</v>
      </c>
      <c r="BP54" s="15">
        <f t="shared" si="19"/>
        <v>0</v>
      </c>
      <c r="BQ54" s="15">
        <f t="shared" si="19"/>
        <v>0</v>
      </c>
      <c r="BR54" s="15">
        <f t="shared" si="19"/>
        <v>-179400000</v>
      </c>
      <c r="BT54" s="24"/>
      <c r="BU54" s="4">
        <v>0.05</v>
      </c>
      <c r="BV54" s="6">
        <v>0</v>
      </c>
      <c r="BW54" s="6">
        <f t="shared" si="26"/>
        <v>0.41095890410958902</v>
      </c>
      <c r="BX54" s="6">
        <f t="shared" si="26"/>
        <v>0.49446827726349057</v>
      </c>
      <c r="BY54" s="6">
        <f t="shared" si="26"/>
        <v>0.51576565211146774</v>
      </c>
      <c r="BZ54" s="6">
        <f t="shared" si="26"/>
        <v>0.52149397895713612</v>
      </c>
      <c r="CA54" s="6">
        <f t="shared" si="26"/>
        <v>0.52305649933975962</v>
      </c>
      <c r="CB54" s="6">
        <f t="shared" si="26"/>
        <v>0.52348433598989241</v>
      </c>
      <c r="CC54" s="6">
        <f t="shared" si="26"/>
        <v>0.52360160483419294</v>
      </c>
      <c r="CD54" s="6">
        <f t="shared" si="26"/>
        <v>0.52363375707534621</v>
      </c>
      <c r="CE54" s="6">
        <f t="shared" si="26"/>
        <v>0.52364257312109652</v>
      </c>
      <c r="CF54" s="6">
        <f t="shared" si="26"/>
        <v>0.5236449905056163</v>
      </c>
      <c r="CG54" s="6">
        <f t="shared" si="26"/>
        <v>0.52364565336314417</v>
      </c>
      <c r="CH54" s="6">
        <f t="shared" si="26"/>
        <v>0.52364583512190344</v>
      </c>
      <c r="CI54" s="6">
        <f t="shared" si="26"/>
        <v>0.52364588496106157</v>
      </c>
      <c r="CJ54" s="6">
        <f t="shared" si="26"/>
        <v>0.52364589862720901</v>
      </c>
      <c r="CK54" s="6">
        <f t="shared" si="26"/>
        <v>0.52364590237453534</v>
      </c>
      <c r="CL54" s="6">
        <f t="shared" si="26"/>
        <v>0.52364590340207107</v>
      </c>
      <c r="CM54" s="6">
        <f t="shared" si="26"/>
        <v>0.52364590368382657</v>
      </c>
      <c r="CN54" s="6">
        <f t="shared" si="26"/>
        <v>0.52364590376108522</v>
      </c>
      <c r="CO54" s="6">
        <f t="shared" si="26"/>
        <v>0.52364590378227005</v>
      </c>
      <c r="CP54" s="6">
        <f t="shared" si="26"/>
        <v>0.52364590378807896</v>
      </c>
      <c r="CQ54" s="6">
        <f t="shared" si="26"/>
        <v>0.5236459037896718</v>
      </c>
      <c r="CR54" s="6">
        <f t="shared" si="26"/>
        <v>0.52364590379010867</v>
      </c>
      <c r="CS54" s="6">
        <f t="shared" si="26"/>
        <v>0.52364590379022846</v>
      </c>
      <c r="CT54" s="6">
        <f t="shared" si="26"/>
        <v>0.52364590379026121</v>
      </c>
      <c r="CU54" s="6">
        <f t="shared" si="26"/>
        <v>0.52364590379027021</v>
      </c>
      <c r="CV54" s="6">
        <f t="shared" si="26"/>
        <v>0.52364590379027265</v>
      </c>
      <c r="CW54" s="6">
        <f t="shared" si="26"/>
        <v>0.52364590379027331</v>
      </c>
      <c r="CX54" s="6">
        <f t="shared" si="26"/>
        <v>0.52364590379027354</v>
      </c>
      <c r="CY54" s="6">
        <f t="shared" si="26"/>
        <v>0.52364590379027354</v>
      </c>
      <c r="CZ54" s="6">
        <f t="shared" si="16"/>
        <v>100</v>
      </c>
      <c r="DB54" s="24"/>
      <c r="DC54" s="4">
        <v>0.05</v>
      </c>
      <c r="DD54" s="6">
        <f t="shared" si="17"/>
        <v>300</v>
      </c>
      <c r="DE54" s="6">
        <f t="shared" si="18"/>
        <v>123.28767123287672</v>
      </c>
      <c r="DF54" s="6">
        <f t="shared" si="18"/>
        <v>60.961842402348154</v>
      </c>
      <c r="DG54" s="6">
        <f t="shared" si="18"/>
        <v>31.442024400563621</v>
      </c>
      <c r="DH54" s="6">
        <f t="shared" si="18"/>
        <v>16.396826411117285</v>
      </c>
      <c r="DI54" s="6">
        <f t="shared" si="18"/>
        <v>8.5764666228807211</v>
      </c>
      <c r="DJ54" s="6">
        <f t="shared" si="18"/>
        <v>4.4896459352181886</v>
      </c>
      <c r="DK54" s="6">
        <f t="shared" si="18"/>
        <v>2.3507858168175546</v>
      </c>
      <c r="DL54" s="6">
        <f t="shared" si="18"/>
        <v>1.2309508093396129</v>
      </c>
      <c r="DM54" s="6">
        <f t="shared" si="18"/>
        <v>0.64457824918809103</v>
      </c>
      <c r="DN54" s="6">
        <f t="shared" si="18"/>
        <v>0.33753017117622475</v>
      </c>
      <c r="DO54" s="6">
        <f t="shared" si="18"/>
        <v>0.17674620701534813</v>
      </c>
      <c r="DP54" s="6">
        <f t="shared" si="18"/>
        <v>9.2552415177180797E-2</v>
      </c>
      <c r="DQ54" s="6">
        <f t="shared" si="18"/>
        <v>4.8464691350738429E-2</v>
      </c>
      <c r="DR54" s="6">
        <f t="shared" si="18"/>
        <v>2.5378336854047744E-2</v>
      </c>
      <c r="DS54" s="6">
        <f t="shared" si="18"/>
        <v>1.3289262102702756E-2</v>
      </c>
      <c r="DT54" s="6">
        <f t="shared" si="18"/>
        <v>6.9588676593166912E-3</v>
      </c>
      <c r="DU54" s="6">
        <f t="shared" si="24"/>
        <v>3.6439825440790436E-3</v>
      </c>
      <c r="DV54" s="6">
        <f t="shared" si="24"/>
        <v>1.9081565325838894E-3</v>
      </c>
      <c r="DW54" s="6">
        <f t="shared" si="24"/>
        <v>9.9919835206293325E-4</v>
      </c>
      <c r="DX54" s="6">
        <f t="shared" si="24"/>
        <v>5.2322612412955387E-4</v>
      </c>
      <c r="DY54" s="6">
        <f t="shared" si="24"/>
        <v>2.7398521665618727E-4</v>
      </c>
      <c r="DZ54" s="6">
        <f t="shared" si="24"/>
        <v>1.434712364010579E-4</v>
      </c>
      <c r="EA54" s="6">
        <f t="shared" si="24"/>
        <v>7.5128125253133484E-5</v>
      </c>
      <c r="EB54" s="6">
        <f t="shared" si="24"/>
        <v>3.9340535048245028E-5</v>
      </c>
      <c r="EC54" s="6">
        <f t="shared" si="20"/>
        <v>2.0600510030931069E-5</v>
      </c>
      <c r="ED54" s="6">
        <f t="shared" si="20"/>
        <v>1.0787372693687478E-5</v>
      </c>
      <c r="EE54" s="6">
        <f t="shared" si="20"/>
        <v>5.6487635237084939E-6</v>
      </c>
      <c r="EF54" s="6">
        <f t="shared" si="20"/>
        <v>2.9579518806698644E-6</v>
      </c>
      <c r="EG54" s="6">
        <f t="shared" si="20"/>
        <v>1.5489193859215107E-6</v>
      </c>
      <c r="EH54" s="6">
        <f t="shared" si="20"/>
        <v>22.691323308663819</v>
      </c>
    </row>
    <row r="55" spans="5:138">
      <c r="E55" s="26"/>
      <c r="F55" s="4">
        <v>4.6666666666666669E-2</v>
      </c>
      <c r="G55">
        <f t="shared" si="10"/>
        <v>300</v>
      </c>
      <c r="H55">
        <f t="shared" si="11"/>
        <v>157.09377165338856</v>
      </c>
      <c r="I55">
        <f t="shared" si="11"/>
        <v>82.261511023245447</v>
      </c>
      <c r="J55">
        <f t="shared" si="11"/>
        <v>43.075905169842066</v>
      </c>
      <c r="K55">
        <f t="shared" si="11"/>
        <v>22.556524890036922</v>
      </c>
      <c r="L55">
        <f t="shared" si="11"/>
        <v>11.811638729247784</v>
      </c>
      <c r="M55">
        <f t="shared" si="11"/>
        <v>6.1851293511326899</v>
      </c>
      <c r="N55">
        <f t="shared" si="11"/>
        <v>3.2388426918417639</v>
      </c>
      <c r="O55">
        <f t="shared" si="11"/>
        <v>1.6960545323489358</v>
      </c>
      <c r="P55">
        <f t="shared" si="11"/>
        <v>0.8882233368739797</v>
      </c>
      <c r="Q55">
        <f t="shared" si="11"/>
        <v>0.46528892071108163</v>
      </c>
      <c r="R55">
        <f t="shared" si="11"/>
        <v>0.24397970352298565</v>
      </c>
      <c r="S55">
        <f t="shared" si="11"/>
        <v>0.12839502452818344</v>
      </c>
      <c r="T55">
        <f t="shared" si="11"/>
        <v>6.8448189495594031E-2</v>
      </c>
      <c r="U55">
        <f t="shared" si="11"/>
        <v>3.8162236577762049E-2</v>
      </c>
      <c r="V55">
        <f t="shared" si="11"/>
        <v>2.4413252843626963E-2</v>
      </c>
      <c r="W55">
        <f t="shared" si="11"/>
        <v>2.1243345341730224E-2</v>
      </c>
      <c r="X55">
        <f t="shared" si="25"/>
        <v>2.7278887487916587E-2</v>
      </c>
      <c r="Y55">
        <f t="shared" si="25"/>
        <v>4.5135280878866799E-2</v>
      </c>
      <c r="Z55">
        <f t="shared" si="25"/>
        <v>8.2550295983992647E-2</v>
      </c>
      <c r="AA55">
        <f t="shared" si="25"/>
        <v>0.1557371060155153</v>
      </c>
      <c r="AB55">
        <f t="shared" si="21"/>
        <v>0.29640999532042794</v>
      </c>
      <c r="AC55">
        <f t="shared" si="21"/>
        <v>0.56552721593085942</v>
      </c>
      <c r="AD55">
        <f t="shared" si="21"/>
        <v>1.0797062301113298</v>
      </c>
      <c r="AE55">
        <f t="shared" si="21"/>
        <v>2.0617579440067098</v>
      </c>
      <c r="AF55">
        <f t="shared" si="21"/>
        <v>3.937238100304997</v>
      </c>
      <c r="AG55">
        <f t="shared" si="21"/>
        <v>7.5188547667354504</v>
      </c>
      <c r="AH55">
        <f t="shared" si="21"/>
        <v>14.358641832084601</v>
      </c>
      <c r="AI55">
        <f t="shared" si="12"/>
        <v>27.420507024670414</v>
      </c>
      <c r="AJ55">
        <f t="shared" si="12"/>
        <v>52.364591927946741</v>
      </c>
      <c r="AK55">
        <f t="shared" si="13"/>
        <v>100</v>
      </c>
      <c r="AL55" s="24"/>
      <c r="AM55" s="4">
        <v>4.6666666666666669E-2</v>
      </c>
      <c r="AN55" s="15">
        <f t="shared" si="14"/>
        <v>-538200000</v>
      </c>
      <c r="AO55" s="15">
        <f t="shared" si="14"/>
        <v>0</v>
      </c>
      <c r="AP55" s="15">
        <f t="shared" si="14"/>
        <v>0</v>
      </c>
      <c r="AQ55" s="15">
        <f t="shared" si="14"/>
        <v>0</v>
      </c>
      <c r="AR55" s="15">
        <f t="shared" si="14"/>
        <v>0</v>
      </c>
      <c r="AS55" s="15">
        <f t="shared" si="14"/>
        <v>0</v>
      </c>
      <c r="AT55" s="15">
        <f t="shared" si="14"/>
        <v>0</v>
      </c>
      <c r="AU55" s="15">
        <f t="shared" si="14"/>
        <v>0</v>
      </c>
      <c r="AV55" s="15">
        <f t="shared" si="14"/>
        <v>0</v>
      </c>
      <c r="AW55" s="15">
        <f t="shared" si="14"/>
        <v>0</v>
      </c>
      <c r="AX55" s="15">
        <f t="shared" si="14"/>
        <v>0</v>
      </c>
      <c r="AY55" s="15">
        <f t="shared" si="14"/>
        <v>0</v>
      </c>
      <c r="AZ55" s="15">
        <f t="shared" si="14"/>
        <v>0</v>
      </c>
      <c r="BA55" s="15">
        <f t="shared" si="14"/>
        <v>0</v>
      </c>
      <c r="BB55" s="15">
        <f t="shared" si="14"/>
        <v>0</v>
      </c>
      <c r="BC55" s="15">
        <f t="shared" si="14"/>
        <v>0</v>
      </c>
      <c r="BD55" s="15">
        <f t="shared" si="22"/>
        <v>0</v>
      </c>
      <c r="BE55" s="15">
        <f t="shared" si="22"/>
        <v>0</v>
      </c>
      <c r="BF55" s="15">
        <f t="shared" si="22"/>
        <v>0</v>
      </c>
      <c r="BG55" s="15">
        <f t="shared" si="22"/>
        <v>0</v>
      </c>
      <c r="BH55" s="15">
        <f t="shared" si="22"/>
        <v>0</v>
      </c>
      <c r="BI55" s="15">
        <f t="shared" si="22"/>
        <v>0</v>
      </c>
      <c r="BJ55" s="15">
        <f t="shared" si="22"/>
        <v>0</v>
      </c>
      <c r="BK55" s="15">
        <f t="shared" si="22"/>
        <v>0</v>
      </c>
      <c r="BL55" s="15">
        <f t="shared" si="19"/>
        <v>0</v>
      </c>
      <c r="BM55" s="15">
        <f t="shared" si="19"/>
        <v>0</v>
      </c>
      <c r="BN55" s="15">
        <f t="shared" si="19"/>
        <v>0</v>
      </c>
      <c r="BO55" s="15">
        <f t="shared" si="19"/>
        <v>0</v>
      </c>
      <c r="BP55" s="15">
        <f t="shared" si="19"/>
        <v>0</v>
      </c>
      <c r="BQ55" s="15">
        <f t="shared" si="19"/>
        <v>0</v>
      </c>
      <c r="BR55" s="15">
        <f t="shared" si="19"/>
        <v>-179400000</v>
      </c>
      <c r="BT55" s="24"/>
      <c r="BU55" s="4">
        <v>4.6666666666666669E-2</v>
      </c>
      <c r="BV55" s="6">
        <v>0</v>
      </c>
      <c r="BW55" s="6">
        <f t="shared" si="26"/>
        <v>0.41095890410958902</v>
      </c>
      <c r="BX55" s="6">
        <f t="shared" si="26"/>
        <v>0.49446827726349057</v>
      </c>
      <c r="BY55" s="6">
        <f t="shared" si="26"/>
        <v>0.51576565211146774</v>
      </c>
      <c r="BZ55" s="6">
        <f t="shared" si="26"/>
        <v>0.52149397895713612</v>
      </c>
      <c r="CA55" s="6">
        <f t="shared" si="26"/>
        <v>0.52305649933975962</v>
      </c>
      <c r="CB55" s="6">
        <f t="shared" si="26"/>
        <v>0.52348433598989241</v>
      </c>
      <c r="CC55" s="6">
        <f t="shared" si="26"/>
        <v>0.52360160483419294</v>
      </c>
      <c r="CD55" s="6">
        <f t="shared" si="26"/>
        <v>0.52363375707534621</v>
      </c>
      <c r="CE55" s="6">
        <f t="shared" si="26"/>
        <v>0.52364257312109652</v>
      </c>
      <c r="CF55" s="6">
        <f t="shared" si="26"/>
        <v>0.5236449905056163</v>
      </c>
      <c r="CG55" s="6">
        <f t="shared" si="26"/>
        <v>0.52364565336314417</v>
      </c>
      <c r="CH55" s="6">
        <f t="shared" si="26"/>
        <v>0.52364583512190344</v>
      </c>
      <c r="CI55" s="6">
        <f t="shared" si="26"/>
        <v>0.52364588496106157</v>
      </c>
      <c r="CJ55" s="6">
        <f t="shared" si="26"/>
        <v>0.52364589862720901</v>
      </c>
      <c r="CK55" s="6">
        <f t="shared" si="26"/>
        <v>0.52364590237453534</v>
      </c>
      <c r="CL55" s="6">
        <f t="shared" si="26"/>
        <v>0.52364590340207107</v>
      </c>
      <c r="CM55" s="6">
        <f t="shared" si="26"/>
        <v>0.52364590368382657</v>
      </c>
      <c r="CN55" s="6">
        <f t="shared" si="26"/>
        <v>0.52364590376108522</v>
      </c>
      <c r="CO55" s="6">
        <f t="shared" si="26"/>
        <v>0.52364590378227005</v>
      </c>
      <c r="CP55" s="6">
        <f t="shared" si="26"/>
        <v>0.52364590378807896</v>
      </c>
      <c r="CQ55" s="6">
        <f t="shared" si="26"/>
        <v>0.5236459037896718</v>
      </c>
      <c r="CR55" s="6">
        <f t="shared" si="26"/>
        <v>0.52364590379010867</v>
      </c>
      <c r="CS55" s="6">
        <f t="shared" si="26"/>
        <v>0.52364590379022846</v>
      </c>
      <c r="CT55" s="6">
        <f t="shared" si="26"/>
        <v>0.52364590379026121</v>
      </c>
      <c r="CU55" s="6">
        <f t="shared" si="26"/>
        <v>0.52364590379027021</v>
      </c>
      <c r="CV55" s="6">
        <f t="shared" si="26"/>
        <v>0.52364590379027265</v>
      </c>
      <c r="CW55" s="6">
        <f t="shared" si="26"/>
        <v>0.52364590379027331</v>
      </c>
      <c r="CX55" s="6">
        <f t="shared" si="26"/>
        <v>0.52364590379027354</v>
      </c>
      <c r="CY55" s="6">
        <f t="shared" si="26"/>
        <v>0.52364590379027354</v>
      </c>
      <c r="CZ55" s="6">
        <f t="shared" si="16"/>
        <v>100</v>
      </c>
      <c r="DB55" s="24"/>
      <c r="DC55" s="4">
        <v>4.6666666666666669E-2</v>
      </c>
      <c r="DD55" s="6">
        <f t="shared" si="17"/>
        <v>300</v>
      </c>
      <c r="DE55" s="6">
        <f t="shared" si="18"/>
        <v>123.28767123287672</v>
      </c>
      <c r="DF55" s="6">
        <f t="shared" si="18"/>
        <v>60.961842402348154</v>
      </c>
      <c r="DG55" s="6">
        <f t="shared" si="18"/>
        <v>31.442024400563621</v>
      </c>
      <c r="DH55" s="6">
        <f t="shared" si="18"/>
        <v>16.396826411117285</v>
      </c>
      <c r="DI55" s="6">
        <f t="shared" si="18"/>
        <v>8.5764666228807211</v>
      </c>
      <c r="DJ55" s="6">
        <f t="shared" si="18"/>
        <v>4.4896459352181886</v>
      </c>
      <c r="DK55" s="6">
        <f t="shared" si="18"/>
        <v>2.3507858168175546</v>
      </c>
      <c r="DL55" s="6">
        <f t="shared" si="18"/>
        <v>1.2309508093396129</v>
      </c>
      <c r="DM55" s="6">
        <f t="shared" si="18"/>
        <v>0.64457824918809103</v>
      </c>
      <c r="DN55" s="6">
        <f t="shared" si="18"/>
        <v>0.33753017117622475</v>
      </c>
      <c r="DO55" s="6">
        <f t="shared" si="18"/>
        <v>0.17674620701534813</v>
      </c>
      <c r="DP55" s="6">
        <f t="shared" si="18"/>
        <v>9.2552415177180797E-2</v>
      </c>
      <c r="DQ55" s="6">
        <f t="shared" si="18"/>
        <v>4.8464691350738429E-2</v>
      </c>
      <c r="DR55" s="6">
        <f t="shared" si="18"/>
        <v>2.5378336854047744E-2</v>
      </c>
      <c r="DS55" s="6">
        <f t="shared" si="18"/>
        <v>1.3289262102702756E-2</v>
      </c>
      <c r="DT55" s="6">
        <f t="shared" si="18"/>
        <v>6.9588676593166912E-3</v>
      </c>
      <c r="DU55" s="6">
        <f t="shared" si="24"/>
        <v>3.6439825440790436E-3</v>
      </c>
      <c r="DV55" s="6">
        <f t="shared" si="24"/>
        <v>1.9081565325838894E-3</v>
      </c>
      <c r="DW55" s="6">
        <f t="shared" si="24"/>
        <v>9.9919835206293325E-4</v>
      </c>
      <c r="DX55" s="6">
        <f t="shared" si="24"/>
        <v>5.2322612412955387E-4</v>
      </c>
      <c r="DY55" s="6">
        <f t="shared" si="24"/>
        <v>2.7398521665618727E-4</v>
      </c>
      <c r="DZ55" s="6">
        <f t="shared" si="24"/>
        <v>1.434712364010579E-4</v>
      </c>
      <c r="EA55" s="6">
        <f t="shared" si="24"/>
        <v>7.5128125253133484E-5</v>
      </c>
      <c r="EB55" s="6">
        <f t="shared" si="24"/>
        <v>3.9340535048245028E-5</v>
      </c>
      <c r="EC55" s="6">
        <f t="shared" si="20"/>
        <v>2.0600510030931069E-5</v>
      </c>
      <c r="ED55" s="6">
        <f t="shared" si="20"/>
        <v>1.0787372693687478E-5</v>
      </c>
      <c r="EE55" s="6">
        <f t="shared" si="20"/>
        <v>5.6487635237084939E-6</v>
      </c>
      <c r="EF55" s="6">
        <f t="shared" si="20"/>
        <v>2.9579518806698644E-6</v>
      </c>
      <c r="EG55" s="6">
        <f t="shared" si="20"/>
        <v>1.5489193859215107E-6</v>
      </c>
      <c r="EH55" s="6">
        <f t="shared" si="20"/>
        <v>22.691323308663819</v>
      </c>
    </row>
    <row r="56" spans="5:138">
      <c r="E56" s="26"/>
      <c r="F56" s="4">
        <v>4.3333333333333335E-2</v>
      </c>
      <c r="G56">
        <f t="shared" si="10"/>
        <v>300</v>
      </c>
      <c r="H56">
        <f t="shared" si="11"/>
        <v>157.09377165338856</v>
      </c>
      <c r="I56">
        <f t="shared" si="11"/>
        <v>82.261511023245447</v>
      </c>
      <c r="J56">
        <f t="shared" si="11"/>
        <v>43.075905169842066</v>
      </c>
      <c r="K56">
        <f t="shared" si="11"/>
        <v>22.556524890036922</v>
      </c>
      <c r="L56">
        <f t="shared" si="11"/>
        <v>11.811638729247784</v>
      </c>
      <c r="M56">
        <f t="shared" si="11"/>
        <v>6.1851293511326899</v>
      </c>
      <c r="N56">
        <f t="shared" si="11"/>
        <v>3.2388426918417639</v>
      </c>
      <c r="O56">
        <f t="shared" si="11"/>
        <v>1.6960545323489358</v>
      </c>
      <c r="P56">
        <f t="shared" si="11"/>
        <v>0.8882233368739797</v>
      </c>
      <c r="Q56">
        <f t="shared" si="11"/>
        <v>0.46528892071108163</v>
      </c>
      <c r="R56">
        <f t="shared" si="11"/>
        <v>0.24397970352298565</v>
      </c>
      <c r="S56">
        <f t="shared" si="11"/>
        <v>0.12839502452818344</v>
      </c>
      <c r="T56">
        <f t="shared" si="11"/>
        <v>6.8448189495594031E-2</v>
      </c>
      <c r="U56">
        <f t="shared" si="11"/>
        <v>3.8162236577762049E-2</v>
      </c>
      <c r="V56">
        <f t="shared" si="11"/>
        <v>2.4413252843626963E-2</v>
      </c>
      <c r="W56">
        <f t="shared" si="11"/>
        <v>2.1243345341730224E-2</v>
      </c>
      <c r="X56">
        <f t="shared" si="25"/>
        <v>2.7278887487916587E-2</v>
      </c>
      <c r="Y56">
        <f t="shared" si="25"/>
        <v>4.5135280878866799E-2</v>
      </c>
      <c r="Z56">
        <f t="shared" si="25"/>
        <v>8.2550295983992647E-2</v>
      </c>
      <c r="AA56">
        <f t="shared" si="25"/>
        <v>0.1557371060155153</v>
      </c>
      <c r="AB56">
        <f t="shared" si="21"/>
        <v>0.29640999532042794</v>
      </c>
      <c r="AC56">
        <f t="shared" si="21"/>
        <v>0.56552721593085942</v>
      </c>
      <c r="AD56">
        <f t="shared" si="21"/>
        <v>1.0797062301113298</v>
      </c>
      <c r="AE56">
        <f t="shared" si="21"/>
        <v>2.0617579440067098</v>
      </c>
      <c r="AF56">
        <f t="shared" si="21"/>
        <v>3.937238100304997</v>
      </c>
      <c r="AG56">
        <f t="shared" si="21"/>
        <v>7.5188547667354504</v>
      </c>
      <c r="AH56">
        <f t="shared" si="21"/>
        <v>14.358641832084601</v>
      </c>
      <c r="AI56">
        <f t="shared" si="21"/>
        <v>27.420507024670414</v>
      </c>
      <c r="AJ56">
        <f t="shared" si="21"/>
        <v>52.364591927946741</v>
      </c>
      <c r="AK56">
        <f t="shared" si="13"/>
        <v>100</v>
      </c>
      <c r="AL56" s="24"/>
      <c r="AM56" s="4">
        <v>4.3333333333333335E-2</v>
      </c>
      <c r="AN56" s="15">
        <f t="shared" si="14"/>
        <v>-538200000</v>
      </c>
      <c r="AO56" s="15">
        <f t="shared" si="14"/>
        <v>0</v>
      </c>
      <c r="AP56" s="15">
        <f t="shared" si="14"/>
        <v>0</v>
      </c>
      <c r="AQ56" s="15">
        <f t="shared" si="14"/>
        <v>0</v>
      </c>
      <c r="AR56" s="15">
        <f t="shared" si="14"/>
        <v>0</v>
      </c>
      <c r="AS56" s="15">
        <f t="shared" si="14"/>
        <v>0</v>
      </c>
      <c r="AT56" s="15">
        <f t="shared" si="14"/>
        <v>0</v>
      </c>
      <c r="AU56" s="15">
        <f t="shared" si="14"/>
        <v>0</v>
      </c>
      <c r="AV56" s="15">
        <f t="shared" si="14"/>
        <v>0</v>
      </c>
      <c r="AW56" s="15">
        <f t="shared" si="14"/>
        <v>0</v>
      </c>
      <c r="AX56" s="15">
        <f t="shared" si="14"/>
        <v>0</v>
      </c>
      <c r="AY56" s="15">
        <f t="shared" si="14"/>
        <v>0</v>
      </c>
      <c r="AZ56" s="15">
        <f t="shared" si="14"/>
        <v>0</v>
      </c>
      <c r="BA56" s="15">
        <f t="shared" si="14"/>
        <v>0</v>
      </c>
      <c r="BB56" s="15">
        <f t="shared" si="14"/>
        <v>0</v>
      </c>
      <c r="BC56" s="15">
        <f t="shared" si="14"/>
        <v>0</v>
      </c>
      <c r="BD56" s="15">
        <f t="shared" si="22"/>
        <v>0</v>
      </c>
      <c r="BE56" s="15">
        <f t="shared" si="22"/>
        <v>0</v>
      </c>
      <c r="BF56" s="15">
        <f t="shared" si="22"/>
        <v>0</v>
      </c>
      <c r="BG56" s="15">
        <f t="shared" si="22"/>
        <v>0</v>
      </c>
      <c r="BH56" s="15">
        <f t="shared" si="22"/>
        <v>0</v>
      </c>
      <c r="BI56" s="15">
        <f t="shared" si="22"/>
        <v>0</v>
      </c>
      <c r="BJ56" s="15">
        <f t="shared" si="22"/>
        <v>0</v>
      </c>
      <c r="BK56" s="15">
        <f t="shared" si="22"/>
        <v>0</v>
      </c>
      <c r="BL56" s="15">
        <f t="shared" si="19"/>
        <v>0</v>
      </c>
      <c r="BM56" s="15">
        <f t="shared" si="19"/>
        <v>0</v>
      </c>
      <c r="BN56" s="15">
        <f t="shared" si="19"/>
        <v>0</v>
      </c>
      <c r="BO56" s="15">
        <f t="shared" si="19"/>
        <v>0</v>
      </c>
      <c r="BP56" s="15">
        <f t="shared" si="19"/>
        <v>0</v>
      </c>
      <c r="BQ56" s="15">
        <f t="shared" si="19"/>
        <v>0</v>
      </c>
      <c r="BR56" s="15">
        <f t="shared" si="19"/>
        <v>-179400000</v>
      </c>
      <c r="BT56" s="24"/>
      <c r="BU56" s="4">
        <v>4.3333333333333335E-2</v>
      </c>
      <c r="BV56" s="6">
        <v>0</v>
      </c>
      <c r="BW56" s="6">
        <f t="shared" si="26"/>
        <v>0.41095890410958902</v>
      </c>
      <c r="BX56" s="6">
        <f t="shared" si="26"/>
        <v>0.49446827726349057</v>
      </c>
      <c r="BY56" s="6">
        <f t="shared" si="26"/>
        <v>0.51576565211146774</v>
      </c>
      <c r="BZ56" s="6">
        <f t="shared" si="26"/>
        <v>0.52149397895713612</v>
      </c>
      <c r="CA56" s="6">
        <f t="shared" si="26"/>
        <v>0.52305649933975962</v>
      </c>
      <c r="CB56" s="6">
        <f t="shared" si="26"/>
        <v>0.52348433598989241</v>
      </c>
      <c r="CC56" s="6">
        <f t="shared" si="26"/>
        <v>0.52360160483419294</v>
      </c>
      <c r="CD56" s="6">
        <f t="shared" si="26"/>
        <v>0.52363375707534621</v>
      </c>
      <c r="CE56" s="6">
        <f t="shared" si="26"/>
        <v>0.52364257312109652</v>
      </c>
      <c r="CF56" s="6">
        <f t="shared" si="26"/>
        <v>0.5236449905056163</v>
      </c>
      <c r="CG56" s="6">
        <f t="shared" si="26"/>
        <v>0.52364565336314417</v>
      </c>
      <c r="CH56" s="6">
        <f t="shared" si="26"/>
        <v>0.52364583512190344</v>
      </c>
      <c r="CI56" s="6">
        <f t="shared" si="26"/>
        <v>0.52364588496106157</v>
      </c>
      <c r="CJ56" s="6">
        <f t="shared" si="26"/>
        <v>0.52364589862720901</v>
      </c>
      <c r="CK56" s="6">
        <f t="shared" si="26"/>
        <v>0.52364590237453534</v>
      </c>
      <c r="CL56" s="6">
        <f t="shared" si="26"/>
        <v>0.52364590340207107</v>
      </c>
      <c r="CM56" s="6">
        <f t="shared" si="26"/>
        <v>0.52364590368382657</v>
      </c>
      <c r="CN56" s="6">
        <f t="shared" si="26"/>
        <v>0.52364590376108522</v>
      </c>
      <c r="CO56" s="6">
        <f t="shared" si="26"/>
        <v>0.52364590378227005</v>
      </c>
      <c r="CP56" s="6">
        <f t="shared" si="26"/>
        <v>0.52364590378807896</v>
      </c>
      <c r="CQ56" s="6">
        <f t="shared" si="26"/>
        <v>0.5236459037896718</v>
      </c>
      <c r="CR56" s="6">
        <f t="shared" si="26"/>
        <v>0.52364590379010867</v>
      </c>
      <c r="CS56" s="6">
        <f t="shared" si="26"/>
        <v>0.52364590379022846</v>
      </c>
      <c r="CT56" s="6">
        <f t="shared" si="26"/>
        <v>0.52364590379026121</v>
      </c>
      <c r="CU56" s="6">
        <f t="shared" si="26"/>
        <v>0.52364590379027021</v>
      </c>
      <c r="CV56" s="6">
        <f t="shared" si="26"/>
        <v>0.52364590379027265</v>
      </c>
      <c r="CW56" s="6">
        <f t="shared" si="26"/>
        <v>0.52364590379027331</v>
      </c>
      <c r="CX56" s="6">
        <f t="shared" si="26"/>
        <v>0.52364590379027354</v>
      </c>
      <c r="CY56" s="6">
        <f t="shared" si="26"/>
        <v>0.52364590379027354</v>
      </c>
      <c r="CZ56" s="6">
        <f t="shared" si="16"/>
        <v>100</v>
      </c>
      <c r="DB56" s="24"/>
      <c r="DC56" s="4">
        <v>4.3333333333333335E-2</v>
      </c>
      <c r="DD56" s="6">
        <f t="shared" si="17"/>
        <v>300</v>
      </c>
      <c r="DE56" s="6">
        <f t="shared" si="18"/>
        <v>123.28767123287672</v>
      </c>
      <c r="DF56" s="6">
        <f t="shared" si="18"/>
        <v>60.961842402348154</v>
      </c>
      <c r="DG56" s="6">
        <f t="shared" si="18"/>
        <v>31.442024400563621</v>
      </c>
      <c r="DH56" s="6">
        <f t="shared" si="18"/>
        <v>16.396826411117285</v>
      </c>
      <c r="DI56" s="6">
        <f t="shared" si="18"/>
        <v>8.5764666228807211</v>
      </c>
      <c r="DJ56" s="6">
        <f t="shared" si="18"/>
        <v>4.4896459352181886</v>
      </c>
      <c r="DK56" s="6">
        <f t="shared" si="18"/>
        <v>2.3507858168175546</v>
      </c>
      <c r="DL56" s="6">
        <f t="shared" si="18"/>
        <v>1.2309508093396129</v>
      </c>
      <c r="DM56" s="6">
        <f t="shared" si="18"/>
        <v>0.64457824918809103</v>
      </c>
      <c r="DN56" s="6">
        <f t="shared" si="18"/>
        <v>0.33753017117622475</v>
      </c>
      <c r="DO56" s="6">
        <f t="shared" si="18"/>
        <v>0.17674620701534813</v>
      </c>
      <c r="DP56" s="6">
        <f t="shared" si="18"/>
        <v>9.2552415177180797E-2</v>
      </c>
      <c r="DQ56" s="6">
        <f t="shared" si="18"/>
        <v>4.8464691350738429E-2</v>
      </c>
      <c r="DR56" s="6">
        <f t="shared" si="18"/>
        <v>2.5378336854047744E-2</v>
      </c>
      <c r="DS56" s="6">
        <f t="shared" si="18"/>
        <v>1.3289262102702756E-2</v>
      </c>
      <c r="DT56" s="6">
        <f t="shared" si="18"/>
        <v>6.9588676593166912E-3</v>
      </c>
      <c r="DU56" s="6">
        <f t="shared" si="24"/>
        <v>3.6439825440790436E-3</v>
      </c>
      <c r="DV56" s="6">
        <f t="shared" si="24"/>
        <v>1.9081565325838894E-3</v>
      </c>
      <c r="DW56" s="6">
        <f t="shared" si="24"/>
        <v>9.9919835206293325E-4</v>
      </c>
      <c r="DX56" s="6">
        <f t="shared" si="24"/>
        <v>5.2322612412955387E-4</v>
      </c>
      <c r="DY56" s="6">
        <f t="shared" si="24"/>
        <v>2.7398521665618727E-4</v>
      </c>
      <c r="DZ56" s="6">
        <f t="shared" si="24"/>
        <v>1.434712364010579E-4</v>
      </c>
      <c r="EA56" s="6">
        <f t="shared" si="24"/>
        <v>7.5128125253133484E-5</v>
      </c>
      <c r="EB56" s="6">
        <f t="shared" si="24"/>
        <v>3.9340535048245028E-5</v>
      </c>
      <c r="EC56" s="6">
        <f t="shared" si="20"/>
        <v>2.0600510030931069E-5</v>
      </c>
      <c r="ED56" s="6">
        <f t="shared" si="20"/>
        <v>1.0787372693687478E-5</v>
      </c>
      <c r="EE56" s="6">
        <f t="shared" si="20"/>
        <v>5.6487635237084939E-6</v>
      </c>
      <c r="EF56" s="6">
        <f t="shared" si="20"/>
        <v>2.9579518806698644E-6</v>
      </c>
      <c r="EG56" s="6">
        <f t="shared" si="20"/>
        <v>1.5489193859215107E-6</v>
      </c>
      <c r="EH56" s="6">
        <f t="shared" si="20"/>
        <v>22.691323308663819</v>
      </c>
    </row>
    <row r="57" spans="5:138">
      <c r="E57" s="26"/>
      <c r="F57" s="4">
        <v>0.04</v>
      </c>
      <c r="G57">
        <f t="shared" si="10"/>
        <v>300</v>
      </c>
      <c r="H57">
        <f t="shared" si="11"/>
        <v>157.09377165338856</v>
      </c>
      <c r="I57">
        <f t="shared" si="11"/>
        <v>82.261511023245447</v>
      </c>
      <c r="J57">
        <f t="shared" si="11"/>
        <v>43.075905169842066</v>
      </c>
      <c r="K57">
        <f t="shared" si="11"/>
        <v>22.556524890036922</v>
      </c>
      <c r="L57">
        <f t="shared" si="11"/>
        <v>11.811638729247784</v>
      </c>
      <c r="M57">
        <f t="shared" si="11"/>
        <v>6.1851293511326899</v>
      </c>
      <c r="N57">
        <f t="shared" si="11"/>
        <v>3.2388426918417639</v>
      </c>
      <c r="O57">
        <f t="shared" si="11"/>
        <v>1.6960545323489358</v>
      </c>
      <c r="P57">
        <f t="shared" si="11"/>
        <v>0.8882233368739797</v>
      </c>
      <c r="Q57">
        <f t="shared" si="11"/>
        <v>0.46528892071108163</v>
      </c>
      <c r="R57">
        <f t="shared" si="11"/>
        <v>0.24397970352298565</v>
      </c>
      <c r="S57">
        <f t="shared" si="11"/>
        <v>0.12839502452818344</v>
      </c>
      <c r="T57">
        <f t="shared" si="11"/>
        <v>6.8448189495594031E-2</v>
      </c>
      <c r="U57">
        <f t="shared" si="11"/>
        <v>3.8162236577762049E-2</v>
      </c>
      <c r="V57">
        <f t="shared" si="11"/>
        <v>2.4413252843626963E-2</v>
      </c>
      <c r="W57">
        <f t="shared" si="11"/>
        <v>2.1243345341730224E-2</v>
      </c>
      <c r="X57">
        <f t="shared" si="25"/>
        <v>2.7278887487916587E-2</v>
      </c>
      <c r="Y57">
        <f t="shared" si="25"/>
        <v>4.5135280878866799E-2</v>
      </c>
      <c r="Z57">
        <f t="shared" si="25"/>
        <v>8.2550295983992647E-2</v>
      </c>
      <c r="AA57">
        <f t="shared" si="25"/>
        <v>0.1557371060155153</v>
      </c>
      <c r="AB57">
        <f t="shared" si="21"/>
        <v>0.29640999532042794</v>
      </c>
      <c r="AC57">
        <f t="shared" si="21"/>
        <v>0.56552721593085942</v>
      </c>
      <c r="AD57">
        <f t="shared" si="21"/>
        <v>1.0797062301113298</v>
      </c>
      <c r="AE57">
        <f t="shared" si="21"/>
        <v>2.0617579440067098</v>
      </c>
      <c r="AF57">
        <f t="shared" si="21"/>
        <v>3.937238100304997</v>
      </c>
      <c r="AG57">
        <f t="shared" si="21"/>
        <v>7.5188547667354504</v>
      </c>
      <c r="AH57">
        <f t="shared" si="21"/>
        <v>14.358641832084601</v>
      </c>
      <c r="AI57">
        <f t="shared" si="21"/>
        <v>27.420507024670414</v>
      </c>
      <c r="AJ57">
        <f t="shared" si="21"/>
        <v>52.364591927946741</v>
      </c>
      <c r="AK57">
        <f t="shared" si="13"/>
        <v>100</v>
      </c>
      <c r="AL57" s="24"/>
      <c r="AM57" s="4">
        <v>0.04</v>
      </c>
      <c r="AN57" s="15">
        <f t="shared" si="14"/>
        <v>-538200000</v>
      </c>
      <c r="AO57" s="15">
        <f t="shared" si="14"/>
        <v>0</v>
      </c>
      <c r="AP57" s="15">
        <f t="shared" si="14"/>
        <v>0</v>
      </c>
      <c r="AQ57" s="15">
        <f t="shared" si="14"/>
        <v>0</v>
      </c>
      <c r="AR57" s="15">
        <f t="shared" si="14"/>
        <v>0</v>
      </c>
      <c r="AS57" s="15">
        <f t="shared" si="14"/>
        <v>0</v>
      </c>
      <c r="AT57" s="15">
        <f t="shared" si="14"/>
        <v>0</v>
      </c>
      <c r="AU57" s="15">
        <f t="shared" si="14"/>
        <v>0</v>
      </c>
      <c r="AV57" s="15">
        <f t="shared" si="14"/>
        <v>0</v>
      </c>
      <c r="AW57" s="15">
        <f t="shared" si="14"/>
        <v>0</v>
      </c>
      <c r="AX57" s="15">
        <f t="shared" si="14"/>
        <v>0</v>
      </c>
      <c r="AY57" s="15">
        <f t="shared" si="14"/>
        <v>0</v>
      </c>
      <c r="AZ57" s="15">
        <f t="shared" si="14"/>
        <v>0</v>
      </c>
      <c r="BA57" s="15">
        <f t="shared" si="14"/>
        <v>0</v>
      </c>
      <c r="BB57" s="15">
        <f t="shared" si="14"/>
        <v>0</v>
      </c>
      <c r="BC57" s="15">
        <f t="shared" si="14"/>
        <v>0</v>
      </c>
      <c r="BD57" s="15">
        <f t="shared" si="22"/>
        <v>0</v>
      </c>
      <c r="BE57" s="15">
        <f t="shared" si="22"/>
        <v>0</v>
      </c>
      <c r="BF57" s="15">
        <f t="shared" si="22"/>
        <v>0</v>
      </c>
      <c r="BG57" s="15">
        <f t="shared" si="22"/>
        <v>0</v>
      </c>
      <c r="BH57" s="15">
        <f t="shared" si="22"/>
        <v>0</v>
      </c>
      <c r="BI57" s="15">
        <f t="shared" si="22"/>
        <v>0</v>
      </c>
      <c r="BJ57" s="15">
        <f t="shared" si="22"/>
        <v>0</v>
      </c>
      <c r="BK57" s="15">
        <f t="shared" si="22"/>
        <v>0</v>
      </c>
      <c r="BL57" s="15">
        <f t="shared" si="19"/>
        <v>0</v>
      </c>
      <c r="BM57" s="15">
        <f t="shared" si="19"/>
        <v>0</v>
      </c>
      <c r="BN57" s="15">
        <f t="shared" si="19"/>
        <v>0</v>
      </c>
      <c r="BO57" s="15">
        <f t="shared" si="19"/>
        <v>0</v>
      </c>
      <c r="BP57" s="15">
        <f t="shared" si="19"/>
        <v>0</v>
      </c>
      <c r="BQ57" s="15">
        <f t="shared" si="19"/>
        <v>0</v>
      </c>
      <c r="BR57" s="15">
        <f t="shared" si="19"/>
        <v>-179400000</v>
      </c>
      <c r="BT57" s="24"/>
      <c r="BU57" s="4">
        <v>0.04</v>
      </c>
      <c r="BV57" s="6">
        <v>0</v>
      </c>
      <c r="BW57" s="6">
        <f t="shared" si="26"/>
        <v>0.41095890410958902</v>
      </c>
      <c r="BX57" s="6">
        <f t="shared" si="26"/>
        <v>0.49446827726349057</v>
      </c>
      <c r="BY57" s="6">
        <f t="shared" si="26"/>
        <v>0.51576565211146774</v>
      </c>
      <c r="BZ57" s="6">
        <f t="shared" si="26"/>
        <v>0.52149397895713612</v>
      </c>
      <c r="CA57" s="6">
        <f t="shared" si="26"/>
        <v>0.52305649933975962</v>
      </c>
      <c r="CB57" s="6">
        <f t="shared" si="26"/>
        <v>0.52348433598989241</v>
      </c>
      <c r="CC57" s="6">
        <f t="shared" si="26"/>
        <v>0.52360160483419294</v>
      </c>
      <c r="CD57" s="6">
        <f t="shared" si="26"/>
        <v>0.52363375707534621</v>
      </c>
      <c r="CE57" s="6">
        <f t="shared" si="26"/>
        <v>0.52364257312109652</v>
      </c>
      <c r="CF57" s="6">
        <f t="shared" si="26"/>
        <v>0.5236449905056163</v>
      </c>
      <c r="CG57" s="6">
        <f t="shared" si="26"/>
        <v>0.52364565336314417</v>
      </c>
      <c r="CH57" s="6">
        <f t="shared" si="26"/>
        <v>0.52364583512190344</v>
      </c>
      <c r="CI57" s="6">
        <f t="shared" si="26"/>
        <v>0.52364588496106157</v>
      </c>
      <c r="CJ57" s="6">
        <f t="shared" si="26"/>
        <v>0.52364589862720901</v>
      </c>
      <c r="CK57" s="6">
        <f t="shared" si="26"/>
        <v>0.52364590237453534</v>
      </c>
      <c r="CL57" s="6">
        <f t="shared" si="26"/>
        <v>0.52364590340207107</v>
      </c>
      <c r="CM57" s="6">
        <f t="shared" si="26"/>
        <v>0.52364590368382657</v>
      </c>
      <c r="CN57" s="6">
        <f t="shared" si="26"/>
        <v>0.52364590376108522</v>
      </c>
      <c r="CO57" s="6">
        <f t="shared" si="26"/>
        <v>0.52364590378227005</v>
      </c>
      <c r="CP57" s="6">
        <f t="shared" si="26"/>
        <v>0.52364590378807896</v>
      </c>
      <c r="CQ57" s="6">
        <f t="shared" si="26"/>
        <v>0.5236459037896718</v>
      </c>
      <c r="CR57" s="6">
        <f t="shared" si="26"/>
        <v>0.52364590379010867</v>
      </c>
      <c r="CS57" s="6">
        <f t="shared" si="26"/>
        <v>0.52364590379022846</v>
      </c>
      <c r="CT57" s="6">
        <f t="shared" ref="CT57:CY57" si="27">$B$20/($B$21-$B$22*CS57)</f>
        <v>0.52364590379026121</v>
      </c>
      <c r="CU57" s="6">
        <f t="shared" si="27"/>
        <v>0.52364590379027021</v>
      </c>
      <c r="CV57" s="6">
        <f t="shared" si="27"/>
        <v>0.52364590379027265</v>
      </c>
      <c r="CW57" s="6">
        <f t="shared" si="27"/>
        <v>0.52364590379027331</v>
      </c>
      <c r="CX57" s="6">
        <f t="shared" si="27"/>
        <v>0.52364590379027354</v>
      </c>
      <c r="CY57" s="6">
        <f t="shared" si="27"/>
        <v>0.52364590379027354</v>
      </c>
      <c r="CZ57" s="6">
        <f t="shared" si="16"/>
        <v>100</v>
      </c>
      <c r="DB57" s="24"/>
      <c r="DC57" s="4">
        <v>0.04</v>
      </c>
      <c r="DD57" s="6">
        <f t="shared" si="17"/>
        <v>300</v>
      </c>
      <c r="DE57" s="6">
        <f t="shared" si="18"/>
        <v>123.28767123287672</v>
      </c>
      <c r="DF57" s="6">
        <f t="shared" si="18"/>
        <v>60.961842402348154</v>
      </c>
      <c r="DG57" s="6">
        <f t="shared" si="18"/>
        <v>31.442024400563621</v>
      </c>
      <c r="DH57" s="6">
        <f t="shared" si="18"/>
        <v>16.396826411117285</v>
      </c>
      <c r="DI57" s="6">
        <f t="shared" si="18"/>
        <v>8.5764666228807211</v>
      </c>
      <c r="DJ57" s="6">
        <f t="shared" si="18"/>
        <v>4.4896459352181886</v>
      </c>
      <c r="DK57" s="6">
        <f t="shared" si="18"/>
        <v>2.3507858168175546</v>
      </c>
      <c r="DL57" s="6">
        <f t="shared" si="18"/>
        <v>1.2309508093396129</v>
      </c>
      <c r="DM57" s="6">
        <f t="shared" si="18"/>
        <v>0.64457824918809103</v>
      </c>
      <c r="DN57" s="6">
        <f t="shared" si="18"/>
        <v>0.33753017117622475</v>
      </c>
      <c r="DO57" s="6">
        <f t="shared" si="18"/>
        <v>0.17674620701534813</v>
      </c>
      <c r="DP57" s="6">
        <f t="shared" si="18"/>
        <v>9.2552415177180797E-2</v>
      </c>
      <c r="DQ57" s="6">
        <f t="shared" si="18"/>
        <v>4.8464691350738429E-2</v>
      </c>
      <c r="DR57" s="6">
        <f t="shared" si="18"/>
        <v>2.5378336854047744E-2</v>
      </c>
      <c r="DS57" s="6">
        <f t="shared" si="18"/>
        <v>1.3289262102702756E-2</v>
      </c>
      <c r="DT57" s="6">
        <f t="shared" si="18"/>
        <v>6.9588676593166912E-3</v>
      </c>
      <c r="DU57" s="6">
        <f t="shared" si="24"/>
        <v>3.6439825440790436E-3</v>
      </c>
      <c r="DV57" s="6">
        <f t="shared" si="24"/>
        <v>1.9081565325838894E-3</v>
      </c>
      <c r="DW57" s="6">
        <f t="shared" si="24"/>
        <v>9.9919835206293325E-4</v>
      </c>
      <c r="DX57" s="6">
        <f t="shared" si="24"/>
        <v>5.2322612412955387E-4</v>
      </c>
      <c r="DY57" s="6">
        <f t="shared" si="24"/>
        <v>2.7398521665618727E-4</v>
      </c>
      <c r="DZ57" s="6">
        <f t="shared" si="24"/>
        <v>1.434712364010579E-4</v>
      </c>
      <c r="EA57" s="6">
        <f t="shared" si="24"/>
        <v>7.5128125253133484E-5</v>
      </c>
      <c r="EB57" s="6">
        <f t="shared" si="24"/>
        <v>3.9340535048245028E-5</v>
      </c>
      <c r="EC57" s="6">
        <f t="shared" si="20"/>
        <v>2.0600510030931069E-5</v>
      </c>
      <c r="ED57" s="6">
        <f t="shared" si="20"/>
        <v>1.0787372693687478E-5</v>
      </c>
      <c r="EE57" s="6">
        <f t="shared" si="20"/>
        <v>5.6487635237084939E-6</v>
      </c>
      <c r="EF57" s="6">
        <f t="shared" si="20"/>
        <v>2.9579518806698644E-6</v>
      </c>
      <c r="EG57" s="6">
        <f t="shared" si="20"/>
        <v>1.5489193859215107E-6</v>
      </c>
      <c r="EH57" s="6">
        <f t="shared" si="20"/>
        <v>22.691323308663819</v>
      </c>
    </row>
    <row r="58" spans="5:138">
      <c r="E58" s="26"/>
      <c r="F58" s="4">
        <v>3.6666666666666667E-2</v>
      </c>
      <c r="G58">
        <f t="shared" si="10"/>
        <v>300</v>
      </c>
      <c r="H58">
        <f t="shared" si="11"/>
        <v>157.09377165338856</v>
      </c>
      <c r="I58">
        <f t="shared" si="11"/>
        <v>82.261511023245447</v>
      </c>
      <c r="J58">
        <f t="shared" si="11"/>
        <v>43.075905169842066</v>
      </c>
      <c r="K58">
        <f t="shared" si="11"/>
        <v>22.556524890036922</v>
      </c>
      <c r="L58">
        <f t="shared" si="11"/>
        <v>11.811638729247784</v>
      </c>
      <c r="M58">
        <f t="shared" si="11"/>
        <v>6.1851293511326899</v>
      </c>
      <c r="N58">
        <f t="shared" si="11"/>
        <v>3.2388426918417639</v>
      </c>
      <c r="O58">
        <f t="shared" si="11"/>
        <v>1.6960545323489358</v>
      </c>
      <c r="P58">
        <f t="shared" si="11"/>
        <v>0.8882233368739797</v>
      </c>
      <c r="Q58">
        <f t="shared" si="11"/>
        <v>0.46528892071108163</v>
      </c>
      <c r="R58">
        <f t="shared" si="11"/>
        <v>0.24397970352298565</v>
      </c>
      <c r="S58">
        <f t="shared" si="11"/>
        <v>0.12839502452818344</v>
      </c>
      <c r="T58">
        <f t="shared" si="11"/>
        <v>6.8448189495594031E-2</v>
      </c>
      <c r="U58">
        <f t="shared" si="11"/>
        <v>3.8162236577762049E-2</v>
      </c>
      <c r="V58">
        <f t="shared" si="11"/>
        <v>2.4413252843626963E-2</v>
      </c>
      <c r="W58">
        <f t="shared" si="11"/>
        <v>2.1243345341730224E-2</v>
      </c>
      <c r="X58">
        <f t="shared" si="25"/>
        <v>2.7278887487916587E-2</v>
      </c>
      <c r="Y58">
        <f t="shared" si="25"/>
        <v>4.5135280878866799E-2</v>
      </c>
      <c r="Z58">
        <f t="shared" si="25"/>
        <v>8.2550295983992647E-2</v>
      </c>
      <c r="AA58">
        <f t="shared" si="25"/>
        <v>0.1557371060155153</v>
      </c>
      <c r="AB58">
        <f t="shared" si="21"/>
        <v>0.29640999532042794</v>
      </c>
      <c r="AC58">
        <f t="shared" si="21"/>
        <v>0.56552721593085942</v>
      </c>
      <c r="AD58">
        <f t="shared" si="21"/>
        <v>1.0797062301113298</v>
      </c>
      <c r="AE58">
        <f t="shared" si="21"/>
        <v>2.0617579440067098</v>
      </c>
      <c r="AF58">
        <f t="shared" si="21"/>
        <v>3.937238100304997</v>
      </c>
      <c r="AG58">
        <f t="shared" si="21"/>
        <v>7.5188547667354504</v>
      </c>
      <c r="AH58">
        <f t="shared" si="21"/>
        <v>14.358641832084601</v>
      </c>
      <c r="AI58">
        <f t="shared" si="21"/>
        <v>27.420507024670414</v>
      </c>
      <c r="AJ58">
        <f t="shared" si="21"/>
        <v>52.364591927946741</v>
      </c>
      <c r="AK58">
        <f t="shared" si="13"/>
        <v>100</v>
      </c>
      <c r="AL58" s="24"/>
      <c r="AM58" s="4">
        <v>3.6666666666666667E-2</v>
      </c>
      <c r="AN58" s="15">
        <f t="shared" si="14"/>
        <v>-538200000</v>
      </c>
      <c r="AO58" s="15">
        <f t="shared" si="14"/>
        <v>0</v>
      </c>
      <c r="AP58" s="15">
        <f t="shared" si="14"/>
        <v>0</v>
      </c>
      <c r="AQ58" s="15">
        <f t="shared" si="14"/>
        <v>0</v>
      </c>
      <c r="AR58" s="15">
        <f t="shared" si="14"/>
        <v>0</v>
      </c>
      <c r="AS58" s="15">
        <f t="shared" si="14"/>
        <v>0</v>
      </c>
      <c r="AT58" s="15">
        <f t="shared" si="14"/>
        <v>0</v>
      </c>
      <c r="AU58" s="15">
        <f t="shared" si="14"/>
        <v>0</v>
      </c>
      <c r="AV58" s="15">
        <f t="shared" si="14"/>
        <v>0</v>
      </c>
      <c r="AW58" s="15">
        <f t="shared" si="14"/>
        <v>0</v>
      </c>
      <c r="AX58" s="15">
        <f t="shared" si="14"/>
        <v>0</v>
      </c>
      <c r="AY58" s="15">
        <f t="shared" si="14"/>
        <v>0</v>
      </c>
      <c r="AZ58" s="15">
        <f t="shared" si="14"/>
        <v>0</v>
      </c>
      <c r="BA58" s="15">
        <f t="shared" si="14"/>
        <v>0</v>
      </c>
      <c r="BB58" s="15">
        <f t="shared" si="14"/>
        <v>0</v>
      </c>
      <c r="BC58" s="15">
        <f t="shared" si="14"/>
        <v>0</v>
      </c>
      <c r="BD58" s="15">
        <f t="shared" si="22"/>
        <v>0</v>
      </c>
      <c r="BE58" s="15">
        <f t="shared" si="22"/>
        <v>0</v>
      </c>
      <c r="BF58" s="15">
        <f t="shared" si="22"/>
        <v>0</v>
      </c>
      <c r="BG58" s="15">
        <f t="shared" si="22"/>
        <v>0</v>
      </c>
      <c r="BH58" s="15">
        <f t="shared" si="22"/>
        <v>0</v>
      </c>
      <c r="BI58" s="15">
        <f t="shared" si="22"/>
        <v>0</v>
      </c>
      <c r="BJ58" s="15">
        <f t="shared" si="22"/>
        <v>0</v>
      </c>
      <c r="BK58" s="15">
        <f t="shared" si="22"/>
        <v>0</v>
      </c>
      <c r="BL58" s="15">
        <f t="shared" si="19"/>
        <v>0</v>
      </c>
      <c r="BM58" s="15">
        <f t="shared" si="19"/>
        <v>0</v>
      </c>
      <c r="BN58" s="15">
        <f t="shared" si="19"/>
        <v>0</v>
      </c>
      <c r="BO58" s="15">
        <f t="shared" si="19"/>
        <v>0</v>
      </c>
      <c r="BP58" s="15">
        <f t="shared" si="19"/>
        <v>0</v>
      </c>
      <c r="BQ58" s="15">
        <f t="shared" si="19"/>
        <v>0</v>
      </c>
      <c r="BR58" s="15">
        <f t="shared" si="19"/>
        <v>-179400000</v>
      </c>
      <c r="BT58" s="24"/>
      <c r="BU58" s="4">
        <v>3.6666666666666667E-2</v>
      </c>
      <c r="BV58" s="6">
        <v>0</v>
      </c>
      <c r="BW58" s="6">
        <f t="shared" ref="BW58:CY66" si="28">$B$20/($B$21-$B$22*BV58)</f>
        <v>0.41095890410958902</v>
      </c>
      <c r="BX58" s="6">
        <f t="shared" si="28"/>
        <v>0.49446827726349057</v>
      </c>
      <c r="BY58" s="6">
        <f t="shared" si="28"/>
        <v>0.51576565211146774</v>
      </c>
      <c r="BZ58" s="6">
        <f t="shared" si="28"/>
        <v>0.52149397895713612</v>
      </c>
      <c r="CA58" s="6">
        <f t="shared" si="28"/>
        <v>0.52305649933975962</v>
      </c>
      <c r="CB58" s="6">
        <f t="shared" si="28"/>
        <v>0.52348433598989241</v>
      </c>
      <c r="CC58" s="6">
        <f t="shared" si="28"/>
        <v>0.52360160483419294</v>
      </c>
      <c r="CD58" s="6">
        <f t="shared" si="28"/>
        <v>0.52363375707534621</v>
      </c>
      <c r="CE58" s="6">
        <f t="shared" si="28"/>
        <v>0.52364257312109652</v>
      </c>
      <c r="CF58" s="6">
        <f t="shared" si="28"/>
        <v>0.5236449905056163</v>
      </c>
      <c r="CG58" s="6">
        <f t="shared" si="28"/>
        <v>0.52364565336314417</v>
      </c>
      <c r="CH58" s="6">
        <f t="shared" si="28"/>
        <v>0.52364583512190344</v>
      </c>
      <c r="CI58" s="6">
        <f t="shared" si="28"/>
        <v>0.52364588496106157</v>
      </c>
      <c r="CJ58" s="6">
        <f t="shared" si="28"/>
        <v>0.52364589862720901</v>
      </c>
      <c r="CK58" s="6">
        <f t="shared" si="28"/>
        <v>0.52364590237453534</v>
      </c>
      <c r="CL58" s="6">
        <f t="shared" si="28"/>
        <v>0.52364590340207107</v>
      </c>
      <c r="CM58" s="6">
        <f t="shared" si="28"/>
        <v>0.52364590368382657</v>
      </c>
      <c r="CN58" s="6">
        <f t="shared" si="28"/>
        <v>0.52364590376108522</v>
      </c>
      <c r="CO58" s="6">
        <f t="shared" si="28"/>
        <v>0.52364590378227005</v>
      </c>
      <c r="CP58" s="6">
        <f t="shared" si="28"/>
        <v>0.52364590378807896</v>
      </c>
      <c r="CQ58" s="6">
        <f t="shared" si="28"/>
        <v>0.5236459037896718</v>
      </c>
      <c r="CR58" s="6">
        <f t="shared" si="28"/>
        <v>0.52364590379010867</v>
      </c>
      <c r="CS58" s="6">
        <f t="shared" si="28"/>
        <v>0.52364590379022846</v>
      </c>
      <c r="CT58" s="6">
        <f t="shared" si="28"/>
        <v>0.52364590379026121</v>
      </c>
      <c r="CU58" s="6">
        <f t="shared" si="28"/>
        <v>0.52364590379027021</v>
      </c>
      <c r="CV58" s="6">
        <f t="shared" si="28"/>
        <v>0.52364590379027265</v>
      </c>
      <c r="CW58" s="6">
        <f t="shared" si="28"/>
        <v>0.52364590379027331</v>
      </c>
      <c r="CX58" s="6">
        <f t="shared" si="28"/>
        <v>0.52364590379027354</v>
      </c>
      <c r="CY58" s="6">
        <f t="shared" si="28"/>
        <v>0.52364590379027354</v>
      </c>
      <c r="CZ58" s="6">
        <f t="shared" si="16"/>
        <v>100</v>
      </c>
      <c r="DB58" s="24"/>
      <c r="DC58" s="4">
        <v>3.6666666666666667E-2</v>
      </c>
      <c r="DD58" s="6">
        <f t="shared" si="17"/>
        <v>300</v>
      </c>
      <c r="DE58" s="6">
        <f t="shared" si="18"/>
        <v>123.28767123287672</v>
      </c>
      <c r="DF58" s="6">
        <f t="shared" si="18"/>
        <v>60.961842402348154</v>
      </c>
      <c r="DG58" s="6">
        <f t="shared" si="18"/>
        <v>31.442024400563621</v>
      </c>
      <c r="DH58" s="6">
        <f t="shared" si="18"/>
        <v>16.396826411117285</v>
      </c>
      <c r="DI58" s="6">
        <f t="shared" si="18"/>
        <v>8.5764666228807211</v>
      </c>
      <c r="DJ58" s="6">
        <f t="shared" si="18"/>
        <v>4.4896459352181886</v>
      </c>
      <c r="DK58" s="6">
        <f t="shared" si="18"/>
        <v>2.3507858168175546</v>
      </c>
      <c r="DL58" s="6">
        <f t="shared" si="18"/>
        <v>1.2309508093396129</v>
      </c>
      <c r="DM58" s="6">
        <f t="shared" si="18"/>
        <v>0.64457824918809103</v>
      </c>
      <c r="DN58" s="6">
        <f t="shared" si="18"/>
        <v>0.33753017117622475</v>
      </c>
      <c r="DO58" s="6">
        <f t="shared" si="18"/>
        <v>0.17674620701534813</v>
      </c>
      <c r="DP58" s="6">
        <f t="shared" si="18"/>
        <v>9.2552415177180797E-2</v>
      </c>
      <c r="DQ58" s="6">
        <f t="shared" si="18"/>
        <v>4.8464691350738429E-2</v>
      </c>
      <c r="DR58" s="6">
        <f t="shared" si="18"/>
        <v>2.5378336854047744E-2</v>
      </c>
      <c r="DS58" s="6">
        <f t="shared" si="18"/>
        <v>1.3289262102702756E-2</v>
      </c>
      <c r="DT58" s="6">
        <f t="shared" si="18"/>
        <v>6.9588676593166912E-3</v>
      </c>
      <c r="DU58" s="6">
        <f t="shared" si="24"/>
        <v>3.6439825440790436E-3</v>
      </c>
      <c r="DV58" s="6">
        <f t="shared" si="24"/>
        <v>1.9081565325838894E-3</v>
      </c>
      <c r="DW58" s="6">
        <f t="shared" si="24"/>
        <v>9.9919835206293325E-4</v>
      </c>
      <c r="DX58" s="6">
        <f t="shared" si="24"/>
        <v>5.2322612412955387E-4</v>
      </c>
      <c r="DY58" s="6">
        <f t="shared" si="24"/>
        <v>2.7398521665618727E-4</v>
      </c>
      <c r="DZ58" s="6">
        <f t="shared" si="24"/>
        <v>1.434712364010579E-4</v>
      </c>
      <c r="EA58" s="6">
        <f t="shared" si="24"/>
        <v>7.5128125253133484E-5</v>
      </c>
      <c r="EB58" s="6">
        <f t="shared" si="24"/>
        <v>3.9340535048245028E-5</v>
      </c>
      <c r="EC58" s="6">
        <f t="shared" si="20"/>
        <v>2.0600510030931069E-5</v>
      </c>
      <c r="ED58" s="6">
        <f t="shared" si="20"/>
        <v>1.0787372693687478E-5</v>
      </c>
      <c r="EE58" s="6">
        <f t="shared" si="20"/>
        <v>5.6487635237084939E-6</v>
      </c>
      <c r="EF58" s="6">
        <f t="shared" si="20"/>
        <v>2.9579518806698644E-6</v>
      </c>
      <c r="EG58" s="6">
        <f t="shared" si="20"/>
        <v>1.5489193859215107E-6</v>
      </c>
      <c r="EH58" s="6">
        <f t="shared" si="20"/>
        <v>22.691323308663819</v>
      </c>
    </row>
    <row r="59" spans="5:138">
      <c r="E59" s="26"/>
      <c r="F59" s="4">
        <v>3.3333333333333333E-2</v>
      </c>
      <c r="G59">
        <f t="shared" si="10"/>
        <v>300</v>
      </c>
      <c r="H59">
        <f t="shared" si="11"/>
        <v>157.09377165338856</v>
      </c>
      <c r="I59">
        <f t="shared" si="11"/>
        <v>82.261511023245447</v>
      </c>
      <c r="J59">
        <f t="shared" si="11"/>
        <v>43.075905169842066</v>
      </c>
      <c r="K59">
        <f t="shared" si="11"/>
        <v>22.556524890036922</v>
      </c>
      <c r="L59">
        <f t="shared" si="11"/>
        <v>11.811638729247784</v>
      </c>
      <c r="M59">
        <f t="shared" si="11"/>
        <v>6.1851293511326899</v>
      </c>
      <c r="N59">
        <f t="shared" si="11"/>
        <v>3.2388426918417639</v>
      </c>
      <c r="O59">
        <f t="shared" si="11"/>
        <v>1.6960545323489358</v>
      </c>
      <c r="P59">
        <f t="shared" si="11"/>
        <v>0.8882233368739797</v>
      </c>
      <c r="Q59">
        <f t="shared" si="11"/>
        <v>0.46528892071108163</v>
      </c>
      <c r="R59">
        <f t="shared" si="11"/>
        <v>0.24397970352298565</v>
      </c>
      <c r="S59">
        <f t="shared" si="11"/>
        <v>0.12839502452818344</v>
      </c>
      <c r="T59">
        <f t="shared" si="11"/>
        <v>6.8448189495594031E-2</v>
      </c>
      <c r="U59">
        <f t="shared" si="11"/>
        <v>3.8162236577762049E-2</v>
      </c>
      <c r="V59">
        <f t="shared" si="11"/>
        <v>2.4413252843626963E-2</v>
      </c>
      <c r="W59">
        <f t="shared" si="11"/>
        <v>2.1243345341730224E-2</v>
      </c>
      <c r="X59">
        <f t="shared" si="25"/>
        <v>2.7278887487916587E-2</v>
      </c>
      <c r="Y59">
        <f t="shared" si="25"/>
        <v>4.5135280878866799E-2</v>
      </c>
      <c r="Z59">
        <f t="shared" si="25"/>
        <v>8.2550295983992647E-2</v>
      </c>
      <c r="AA59">
        <f t="shared" si="25"/>
        <v>0.1557371060155153</v>
      </c>
      <c r="AB59">
        <f t="shared" si="21"/>
        <v>0.29640999532042794</v>
      </c>
      <c r="AC59">
        <f t="shared" si="21"/>
        <v>0.56552721593085942</v>
      </c>
      <c r="AD59">
        <f t="shared" si="21"/>
        <v>1.0797062301113298</v>
      </c>
      <c r="AE59">
        <f t="shared" si="21"/>
        <v>2.0617579440067098</v>
      </c>
      <c r="AF59">
        <f t="shared" si="21"/>
        <v>3.937238100304997</v>
      </c>
      <c r="AG59">
        <f t="shared" si="21"/>
        <v>7.5188547667354504</v>
      </c>
      <c r="AH59">
        <f t="shared" si="21"/>
        <v>14.358641832084601</v>
      </c>
      <c r="AI59">
        <f t="shared" si="21"/>
        <v>27.420507024670414</v>
      </c>
      <c r="AJ59">
        <f t="shared" si="21"/>
        <v>52.364591927946741</v>
      </c>
      <c r="AK59">
        <f t="shared" si="13"/>
        <v>100</v>
      </c>
      <c r="AL59" s="24"/>
      <c r="AM59" s="4">
        <v>3.3333333333333333E-2</v>
      </c>
      <c r="AN59" s="15">
        <f t="shared" si="14"/>
        <v>-538200000</v>
      </c>
      <c r="AO59" s="15">
        <f t="shared" si="14"/>
        <v>0</v>
      </c>
      <c r="AP59" s="15">
        <f t="shared" si="14"/>
        <v>0</v>
      </c>
      <c r="AQ59" s="15">
        <f t="shared" si="14"/>
        <v>0</v>
      </c>
      <c r="AR59" s="15">
        <f t="shared" si="14"/>
        <v>0</v>
      </c>
      <c r="AS59" s="15">
        <f t="shared" si="14"/>
        <v>0</v>
      </c>
      <c r="AT59" s="15">
        <f t="shared" si="14"/>
        <v>0</v>
      </c>
      <c r="AU59" s="15">
        <f t="shared" si="14"/>
        <v>0</v>
      </c>
      <c r="AV59" s="15">
        <f t="shared" si="14"/>
        <v>0</v>
      </c>
      <c r="AW59" s="15">
        <f t="shared" si="14"/>
        <v>0</v>
      </c>
      <c r="AX59" s="15">
        <f t="shared" si="14"/>
        <v>0</v>
      </c>
      <c r="AY59" s="15">
        <f t="shared" si="14"/>
        <v>0</v>
      </c>
      <c r="AZ59" s="15">
        <f t="shared" si="14"/>
        <v>0</v>
      </c>
      <c r="BA59" s="15">
        <f t="shared" si="14"/>
        <v>0</v>
      </c>
      <c r="BB59" s="15">
        <f t="shared" si="14"/>
        <v>0</v>
      </c>
      <c r="BC59" s="15">
        <f t="shared" si="14"/>
        <v>0</v>
      </c>
      <c r="BD59" s="15">
        <f t="shared" si="22"/>
        <v>0</v>
      </c>
      <c r="BE59" s="15">
        <f t="shared" si="22"/>
        <v>0</v>
      </c>
      <c r="BF59" s="15">
        <f t="shared" si="22"/>
        <v>0</v>
      </c>
      <c r="BG59" s="15">
        <f t="shared" si="22"/>
        <v>0</v>
      </c>
      <c r="BH59" s="15">
        <f t="shared" si="22"/>
        <v>0</v>
      </c>
      <c r="BI59" s="15">
        <f t="shared" si="22"/>
        <v>0</v>
      </c>
      <c r="BJ59" s="15">
        <f t="shared" si="22"/>
        <v>0</v>
      </c>
      <c r="BK59" s="15">
        <f t="shared" si="22"/>
        <v>0</v>
      </c>
      <c r="BL59" s="15">
        <f t="shared" si="19"/>
        <v>0</v>
      </c>
      <c r="BM59" s="15">
        <f t="shared" si="19"/>
        <v>0</v>
      </c>
      <c r="BN59" s="15">
        <f t="shared" si="19"/>
        <v>0</v>
      </c>
      <c r="BO59" s="15">
        <f t="shared" si="19"/>
        <v>0</v>
      </c>
      <c r="BP59" s="15">
        <f t="shared" si="19"/>
        <v>0</v>
      </c>
      <c r="BQ59" s="15">
        <f t="shared" si="19"/>
        <v>0</v>
      </c>
      <c r="BR59" s="15">
        <f t="shared" si="19"/>
        <v>-179400000</v>
      </c>
      <c r="BT59" s="24"/>
      <c r="BU59" s="4">
        <v>3.3333333333333333E-2</v>
      </c>
      <c r="BV59" s="6">
        <v>0</v>
      </c>
      <c r="BW59" s="6">
        <f t="shared" si="28"/>
        <v>0.41095890410958902</v>
      </c>
      <c r="BX59" s="6">
        <f t="shared" si="28"/>
        <v>0.49446827726349057</v>
      </c>
      <c r="BY59" s="6">
        <f t="shared" si="28"/>
        <v>0.51576565211146774</v>
      </c>
      <c r="BZ59" s="6">
        <f t="shared" si="28"/>
        <v>0.52149397895713612</v>
      </c>
      <c r="CA59" s="6">
        <f t="shared" si="28"/>
        <v>0.52305649933975962</v>
      </c>
      <c r="CB59" s="6">
        <f t="shared" si="28"/>
        <v>0.52348433598989241</v>
      </c>
      <c r="CC59" s="6">
        <f t="shared" si="28"/>
        <v>0.52360160483419294</v>
      </c>
      <c r="CD59" s="6">
        <f t="shared" si="28"/>
        <v>0.52363375707534621</v>
      </c>
      <c r="CE59" s="6">
        <f t="shared" si="28"/>
        <v>0.52364257312109652</v>
      </c>
      <c r="CF59" s="6">
        <f t="shared" si="28"/>
        <v>0.5236449905056163</v>
      </c>
      <c r="CG59" s="6">
        <f t="shared" si="28"/>
        <v>0.52364565336314417</v>
      </c>
      <c r="CH59" s="6">
        <f t="shared" si="28"/>
        <v>0.52364583512190344</v>
      </c>
      <c r="CI59" s="6">
        <f t="shared" si="28"/>
        <v>0.52364588496106157</v>
      </c>
      <c r="CJ59" s="6">
        <f t="shared" si="28"/>
        <v>0.52364589862720901</v>
      </c>
      <c r="CK59" s="6">
        <f t="shared" si="28"/>
        <v>0.52364590237453534</v>
      </c>
      <c r="CL59" s="6">
        <f t="shared" si="28"/>
        <v>0.52364590340207107</v>
      </c>
      <c r="CM59" s="6">
        <f t="shared" si="28"/>
        <v>0.52364590368382657</v>
      </c>
      <c r="CN59" s="6">
        <f t="shared" si="28"/>
        <v>0.52364590376108522</v>
      </c>
      <c r="CO59" s="6">
        <f t="shared" si="28"/>
        <v>0.52364590378227005</v>
      </c>
      <c r="CP59" s="6">
        <f t="shared" si="28"/>
        <v>0.52364590378807896</v>
      </c>
      <c r="CQ59" s="6">
        <f t="shared" si="28"/>
        <v>0.5236459037896718</v>
      </c>
      <c r="CR59" s="6">
        <f t="shared" si="28"/>
        <v>0.52364590379010867</v>
      </c>
      <c r="CS59" s="6">
        <f t="shared" si="28"/>
        <v>0.52364590379022846</v>
      </c>
      <c r="CT59" s="6">
        <f t="shared" si="28"/>
        <v>0.52364590379026121</v>
      </c>
      <c r="CU59" s="6">
        <f t="shared" si="28"/>
        <v>0.52364590379027021</v>
      </c>
      <c r="CV59" s="6">
        <f t="shared" si="28"/>
        <v>0.52364590379027265</v>
      </c>
      <c r="CW59" s="6">
        <f t="shared" si="28"/>
        <v>0.52364590379027331</v>
      </c>
      <c r="CX59" s="6">
        <f t="shared" si="28"/>
        <v>0.52364590379027354</v>
      </c>
      <c r="CY59" s="6">
        <f t="shared" si="28"/>
        <v>0.52364590379027354</v>
      </c>
      <c r="CZ59" s="6">
        <f t="shared" si="16"/>
        <v>100</v>
      </c>
      <c r="DB59" s="24"/>
      <c r="DC59" s="4">
        <v>3.3333333333333333E-2</v>
      </c>
      <c r="DD59" s="6">
        <f t="shared" si="17"/>
        <v>300</v>
      </c>
      <c r="DE59" s="6">
        <f t="shared" si="18"/>
        <v>123.28767123287672</v>
      </c>
      <c r="DF59" s="6">
        <f t="shared" si="18"/>
        <v>60.961842402348154</v>
      </c>
      <c r="DG59" s="6">
        <f t="shared" si="18"/>
        <v>31.442024400563621</v>
      </c>
      <c r="DH59" s="6">
        <f t="shared" si="18"/>
        <v>16.396826411117285</v>
      </c>
      <c r="DI59" s="6">
        <f t="shared" si="18"/>
        <v>8.5764666228807211</v>
      </c>
      <c r="DJ59" s="6">
        <f t="shared" si="18"/>
        <v>4.4896459352181886</v>
      </c>
      <c r="DK59" s="6">
        <f t="shared" si="18"/>
        <v>2.3507858168175546</v>
      </c>
      <c r="DL59" s="6">
        <f t="shared" si="18"/>
        <v>1.2309508093396129</v>
      </c>
      <c r="DM59" s="6">
        <f t="shared" si="18"/>
        <v>0.64457824918809103</v>
      </c>
      <c r="DN59" s="6">
        <f t="shared" si="18"/>
        <v>0.33753017117622475</v>
      </c>
      <c r="DO59" s="6">
        <f t="shared" si="18"/>
        <v>0.17674620701534813</v>
      </c>
      <c r="DP59" s="6">
        <f t="shared" si="18"/>
        <v>9.2552415177180797E-2</v>
      </c>
      <c r="DQ59" s="6">
        <f t="shared" si="18"/>
        <v>4.8464691350738429E-2</v>
      </c>
      <c r="DR59" s="6">
        <f t="shared" si="18"/>
        <v>2.5378336854047744E-2</v>
      </c>
      <c r="DS59" s="6">
        <f t="shared" si="18"/>
        <v>1.3289262102702756E-2</v>
      </c>
      <c r="DT59" s="6">
        <f t="shared" si="18"/>
        <v>6.9588676593166912E-3</v>
      </c>
      <c r="DU59" s="6">
        <f t="shared" si="24"/>
        <v>3.6439825440790436E-3</v>
      </c>
      <c r="DV59" s="6">
        <f t="shared" si="24"/>
        <v>1.9081565325838894E-3</v>
      </c>
      <c r="DW59" s="6">
        <f t="shared" si="24"/>
        <v>9.9919835206293325E-4</v>
      </c>
      <c r="DX59" s="6">
        <f t="shared" si="24"/>
        <v>5.2322612412955387E-4</v>
      </c>
      <c r="DY59" s="6">
        <f t="shared" si="24"/>
        <v>2.7398521665618727E-4</v>
      </c>
      <c r="DZ59" s="6">
        <f t="shared" si="24"/>
        <v>1.434712364010579E-4</v>
      </c>
      <c r="EA59" s="6">
        <f t="shared" si="24"/>
        <v>7.5128125253133484E-5</v>
      </c>
      <c r="EB59" s="6">
        <f t="shared" si="24"/>
        <v>3.9340535048245028E-5</v>
      </c>
      <c r="EC59" s="6">
        <f t="shared" si="20"/>
        <v>2.0600510030931069E-5</v>
      </c>
      <c r="ED59" s="6">
        <f t="shared" si="20"/>
        <v>1.0787372693687478E-5</v>
      </c>
      <c r="EE59" s="6">
        <f t="shared" si="20"/>
        <v>5.6487635237084939E-6</v>
      </c>
      <c r="EF59" s="6">
        <f t="shared" si="20"/>
        <v>2.9579518806698644E-6</v>
      </c>
      <c r="EG59" s="6">
        <f t="shared" si="20"/>
        <v>1.5489193859215107E-6</v>
      </c>
      <c r="EH59" s="6">
        <f t="shared" si="20"/>
        <v>22.691323308663819</v>
      </c>
    </row>
    <row r="60" spans="5:138">
      <c r="E60" s="26"/>
      <c r="F60" s="4">
        <v>3.0000000000000002E-2</v>
      </c>
      <c r="G60">
        <f t="shared" si="10"/>
        <v>300</v>
      </c>
      <c r="H60">
        <f t="shared" si="11"/>
        <v>157.09377165338856</v>
      </c>
      <c r="I60">
        <f t="shared" si="11"/>
        <v>82.261511023245447</v>
      </c>
      <c r="J60">
        <f t="shared" si="11"/>
        <v>43.075905169842066</v>
      </c>
      <c r="K60">
        <f t="shared" si="11"/>
        <v>22.556524890036922</v>
      </c>
      <c r="L60">
        <f t="shared" si="11"/>
        <v>11.811638729247784</v>
      </c>
      <c r="M60">
        <f t="shared" si="11"/>
        <v>6.1851293511326899</v>
      </c>
      <c r="N60">
        <f t="shared" si="11"/>
        <v>3.2388426918417639</v>
      </c>
      <c r="O60">
        <f t="shared" si="11"/>
        <v>1.6960545323489358</v>
      </c>
      <c r="P60">
        <f t="shared" si="11"/>
        <v>0.8882233368739797</v>
      </c>
      <c r="Q60">
        <f t="shared" si="11"/>
        <v>0.46528892071108163</v>
      </c>
      <c r="R60">
        <f t="shared" si="11"/>
        <v>0.24397970352298565</v>
      </c>
      <c r="S60">
        <f t="shared" si="11"/>
        <v>0.12839502452818344</v>
      </c>
      <c r="T60">
        <f t="shared" si="11"/>
        <v>6.8448189495594031E-2</v>
      </c>
      <c r="U60">
        <f t="shared" si="11"/>
        <v>3.8162236577762049E-2</v>
      </c>
      <c r="V60">
        <f t="shared" si="11"/>
        <v>2.4413252843626963E-2</v>
      </c>
      <c r="W60">
        <f t="shared" si="11"/>
        <v>2.1243345341730224E-2</v>
      </c>
      <c r="X60">
        <f t="shared" si="25"/>
        <v>2.7278887487916587E-2</v>
      </c>
      <c r="Y60">
        <f t="shared" si="25"/>
        <v>4.5135280878866799E-2</v>
      </c>
      <c r="Z60">
        <f t="shared" si="25"/>
        <v>8.2550295983992647E-2</v>
      </c>
      <c r="AA60">
        <f t="shared" si="25"/>
        <v>0.1557371060155153</v>
      </c>
      <c r="AB60">
        <f t="shared" si="21"/>
        <v>0.29640999532042794</v>
      </c>
      <c r="AC60">
        <f t="shared" si="21"/>
        <v>0.56552721593085942</v>
      </c>
      <c r="AD60">
        <f t="shared" si="21"/>
        <v>1.0797062301113298</v>
      </c>
      <c r="AE60">
        <f t="shared" si="21"/>
        <v>2.0617579440067098</v>
      </c>
      <c r="AF60">
        <f t="shared" si="21"/>
        <v>3.937238100304997</v>
      </c>
      <c r="AG60">
        <f t="shared" si="21"/>
        <v>7.5188547667354504</v>
      </c>
      <c r="AH60">
        <f t="shared" si="21"/>
        <v>14.358641832084601</v>
      </c>
      <c r="AI60">
        <f t="shared" si="21"/>
        <v>27.420507024670414</v>
      </c>
      <c r="AJ60">
        <f t="shared" si="21"/>
        <v>52.364591927946741</v>
      </c>
      <c r="AK60">
        <f t="shared" si="13"/>
        <v>100</v>
      </c>
      <c r="AL60" s="24"/>
      <c r="AM60" s="4">
        <v>3.0000000000000002E-2</v>
      </c>
      <c r="AN60" s="15">
        <f t="shared" si="14"/>
        <v>-538200000</v>
      </c>
      <c r="AO60" s="15">
        <f t="shared" si="14"/>
        <v>0</v>
      </c>
      <c r="AP60" s="15">
        <f t="shared" si="14"/>
        <v>0</v>
      </c>
      <c r="AQ60" s="15">
        <f t="shared" si="14"/>
        <v>0</v>
      </c>
      <c r="AR60" s="15">
        <f t="shared" si="14"/>
        <v>0</v>
      </c>
      <c r="AS60" s="15">
        <f t="shared" si="14"/>
        <v>0</v>
      </c>
      <c r="AT60" s="15">
        <f t="shared" si="14"/>
        <v>0</v>
      </c>
      <c r="AU60" s="15">
        <f t="shared" si="14"/>
        <v>0</v>
      </c>
      <c r="AV60" s="15">
        <f t="shared" si="14"/>
        <v>0</v>
      </c>
      <c r="AW60" s="15">
        <f t="shared" si="14"/>
        <v>0</v>
      </c>
      <c r="AX60" s="15">
        <f t="shared" si="14"/>
        <v>0</v>
      </c>
      <c r="AY60" s="15">
        <f t="shared" si="14"/>
        <v>0</v>
      </c>
      <c r="AZ60" s="15">
        <f t="shared" si="14"/>
        <v>0</v>
      </c>
      <c r="BA60" s="15">
        <f t="shared" si="14"/>
        <v>0</v>
      </c>
      <c r="BB60" s="15">
        <f t="shared" si="14"/>
        <v>0</v>
      </c>
      <c r="BC60" s="15">
        <f t="shared" si="14"/>
        <v>0</v>
      </c>
      <c r="BD60" s="15">
        <f t="shared" si="22"/>
        <v>0</v>
      </c>
      <c r="BE60" s="15">
        <f t="shared" si="22"/>
        <v>0</v>
      </c>
      <c r="BF60" s="15">
        <f t="shared" si="22"/>
        <v>0</v>
      </c>
      <c r="BG60" s="15">
        <f t="shared" si="22"/>
        <v>0</v>
      </c>
      <c r="BH60" s="15">
        <f t="shared" si="22"/>
        <v>0</v>
      </c>
      <c r="BI60" s="15">
        <f t="shared" si="22"/>
        <v>0</v>
      </c>
      <c r="BJ60" s="15">
        <f t="shared" si="22"/>
        <v>0</v>
      </c>
      <c r="BK60" s="15">
        <f t="shared" si="22"/>
        <v>0</v>
      </c>
      <c r="BL60" s="15">
        <f t="shared" si="19"/>
        <v>0</v>
      </c>
      <c r="BM60" s="15">
        <f t="shared" si="19"/>
        <v>0</v>
      </c>
      <c r="BN60" s="15">
        <f t="shared" si="19"/>
        <v>0</v>
      </c>
      <c r="BO60" s="15">
        <f t="shared" si="19"/>
        <v>0</v>
      </c>
      <c r="BP60" s="15">
        <f t="shared" si="19"/>
        <v>0</v>
      </c>
      <c r="BQ60" s="15">
        <f t="shared" si="19"/>
        <v>0</v>
      </c>
      <c r="BR60" s="15">
        <f t="shared" si="19"/>
        <v>-179400000</v>
      </c>
      <c r="BT60" s="24"/>
      <c r="BU60" s="4">
        <v>3.0000000000000002E-2</v>
      </c>
      <c r="BV60" s="6">
        <v>0</v>
      </c>
      <c r="BW60" s="6">
        <f t="shared" si="28"/>
        <v>0.41095890410958902</v>
      </c>
      <c r="BX60" s="6">
        <f t="shared" si="28"/>
        <v>0.49446827726349057</v>
      </c>
      <c r="BY60" s="6">
        <f t="shared" si="28"/>
        <v>0.51576565211146774</v>
      </c>
      <c r="BZ60" s="6">
        <f t="shared" si="28"/>
        <v>0.52149397895713612</v>
      </c>
      <c r="CA60" s="6">
        <f t="shared" si="28"/>
        <v>0.52305649933975962</v>
      </c>
      <c r="CB60" s="6">
        <f t="shared" si="28"/>
        <v>0.52348433598989241</v>
      </c>
      <c r="CC60" s="6">
        <f t="shared" si="28"/>
        <v>0.52360160483419294</v>
      </c>
      <c r="CD60" s="6">
        <f t="shared" si="28"/>
        <v>0.52363375707534621</v>
      </c>
      <c r="CE60" s="6">
        <f t="shared" si="28"/>
        <v>0.52364257312109652</v>
      </c>
      <c r="CF60" s="6">
        <f t="shared" si="28"/>
        <v>0.5236449905056163</v>
      </c>
      <c r="CG60" s="6">
        <f t="shared" si="28"/>
        <v>0.52364565336314417</v>
      </c>
      <c r="CH60" s="6">
        <f t="shared" si="28"/>
        <v>0.52364583512190344</v>
      </c>
      <c r="CI60" s="6">
        <f t="shared" si="28"/>
        <v>0.52364588496106157</v>
      </c>
      <c r="CJ60" s="6">
        <f t="shared" si="28"/>
        <v>0.52364589862720901</v>
      </c>
      <c r="CK60" s="6">
        <f t="shared" si="28"/>
        <v>0.52364590237453534</v>
      </c>
      <c r="CL60" s="6">
        <f t="shared" si="28"/>
        <v>0.52364590340207107</v>
      </c>
      <c r="CM60" s="6">
        <f t="shared" si="28"/>
        <v>0.52364590368382657</v>
      </c>
      <c r="CN60" s="6">
        <f t="shared" si="28"/>
        <v>0.52364590376108522</v>
      </c>
      <c r="CO60" s="6">
        <f t="shared" si="28"/>
        <v>0.52364590378227005</v>
      </c>
      <c r="CP60" s="6">
        <f t="shared" si="28"/>
        <v>0.52364590378807896</v>
      </c>
      <c r="CQ60" s="6">
        <f t="shared" si="28"/>
        <v>0.5236459037896718</v>
      </c>
      <c r="CR60" s="6">
        <f t="shared" si="28"/>
        <v>0.52364590379010867</v>
      </c>
      <c r="CS60" s="6">
        <f t="shared" si="28"/>
        <v>0.52364590379022846</v>
      </c>
      <c r="CT60" s="6">
        <f t="shared" si="28"/>
        <v>0.52364590379026121</v>
      </c>
      <c r="CU60" s="6">
        <f t="shared" si="28"/>
        <v>0.52364590379027021</v>
      </c>
      <c r="CV60" s="6">
        <f t="shared" si="28"/>
        <v>0.52364590379027265</v>
      </c>
      <c r="CW60" s="6">
        <f t="shared" si="28"/>
        <v>0.52364590379027331</v>
      </c>
      <c r="CX60" s="6">
        <f t="shared" si="28"/>
        <v>0.52364590379027354</v>
      </c>
      <c r="CY60" s="6">
        <f t="shared" si="28"/>
        <v>0.52364590379027354</v>
      </c>
      <c r="CZ60" s="6">
        <f t="shared" si="16"/>
        <v>100</v>
      </c>
      <c r="DB60" s="24"/>
      <c r="DC60" s="4">
        <v>3.0000000000000002E-2</v>
      </c>
      <c r="DD60" s="6">
        <f t="shared" si="17"/>
        <v>300</v>
      </c>
      <c r="DE60" s="6">
        <f t="shared" si="18"/>
        <v>123.28767123287672</v>
      </c>
      <c r="DF60" s="6">
        <f t="shared" si="18"/>
        <v>60.961842402348154</v>
      </c>
      <c r="DG60" s="6">
        <f t="shared" si="18"/>
        <v>31.442024400563621</v>
      </c>
      <c r="DH60" s="6">
        <f t="shared" si="18"/>
        <v>16.396826411117285</v>
      </c>
      <c r="DI60" s="6">
        <f t="shared" si="18"/>
        <v>8.5764666228807211</v>
      </c>
      <c r="DJ60" s="6">
        <f t="shared" si="18"/>
        <v>4.4896459352181886</v>
      </c>
      <c r="DK60" s="6">
        <f t="shared" si="18"/>
        <v>2.3507858168175546</v>
      </c>
      <c r="DL60" s="6">
        <f t="shared" si="18"/>
        <v>1.2309508093396129</v>
      </c>
      <c r="DM60" s="6">
        <f t="shared" si="18"/>
        <v>0.64457824918809103</v>
      </c>
      <c r="DN60" s="6">
        <f t="shared" si="18"/>
        <v>0.33753017117622475</v>
      </c>
      <c r="DO60" s="6">
        <f t="shared" si="18"/>
        <v>0.17674620701534813</v>
      </c>
      <c r="DP60" s="6">
        <f t="shared" si="18"/>
        <v>9.2552415177180797E-2</v>
      </c>
      <c r="DQ60" s="6">
        <f t="shared" si="18"/>
        <v>4.8464691350738429E-2</v>
      </c>
      <c r="DR60" s="6">
        <f t="shared" si="18"/>
        <v>2.5378336854047744E-2</v>
      </c>
      <c r="DS60" s="6">
        <f t="shared" si="18"/>
        <v>1.3289262102702756E-2</v>
      </c>
      <c r="DT60" s="6">
        <f t="shared" si="18"/>
        <v>6.9588676593166912E-3</v>
      </c>
      <c r="DU60" s="6">
        <f t="shared" si="24"/>
        <v>3.6439825440790436E-3</v>
      </c>
      <c r="DV60" s="6">
        <f t="shared" si="24"/>
        <v>1.9081565325838894E-3</v>
      </c>
      <c r="DW60" s="6">
        <f t="shared" si="24"/>
        <v>9.9919835206293325E-4</v>
      </c>
      <c r="DX60" s="6">
        <f t="shared" si="24"/>
        <v>5.2322612412955387E-4</v>
      </c>
      <c r="DY60" s="6">
        <f t="shared" si="24"/>
        <v>2.7398521665618727E-4</v>
      </c>
      <c r="DZ60" s="6">
        <f t="shared" si="24"/>
        <v>1.434712364010579E-4</v>
      </c>
      <c r="EA60" s="6">
        <f t="shared" si="24"/>
        <v>7.5128125253133484E-5</v>
      </c>
      <c r="EB60" s="6">
        <f t="shared" si="24"/>
        <v>3.9340535048245028E-5</v>
      </c>
      <c r="EC60" s="6">
        <f t="shared" si="20"/>
        <v>2.0600510030931069E-5</v>
      </c>
      <c r="ED60" s="6">
        <f t="shared" si="20"/>
        <v>1.0787372693687478E-5</v>
      </c>
      <c r="EE60" s="6">
        <f t="shared" si="20"/>
        <v>5.6487635237084939E-6</v>
      </c>
      <c r="EF60" s="6">
        <f t="shared" si="20"/>
        <v>2.9579518806698644E-6</v>
      </c>
      <c r="EG60" s="6">
        <f t="shared" si="20"/>
        <v>1.5489193859215107E-6</v>
      </c>
      <c r="EH60" s="6">
        <f t="shared" si="20"/>
        <v>22.691323308663819</v>
      </c>
    </row>
    <row r="61" spans="5:138">
      <c r="E61" s="26"/>
      <c r="F61" s="4">
        <v>2.6666666666666668E-2</v>
      </c>
      <c r="G61">
        <f t="shared" si="10"/>
        <v>300</v>
      </c>
      <c r="H61">
        <f t="shared" si="11"/>
        <v>157.09377165338856</v>
      </c>
      <c r="I61">
        <f t="shared" si="11"/>
        <v>82.261511023245447</v>
      </c>
      <c r="J61">
        <f t="shared" si="11"/>
        <v>43.075905169842066</v>
      </c>
      <c r="K61">
        <f t="shared" si="11"/>
        <v>22.556524890036922</v>
      </c>
      <c r="L61">
        <f t="shared" si="11"/>
        <v>11.811638729247784</v>
      </c>
      <c r="M61">
        <f t="shared" si="11"/>
        <v>6.1851293511326899</v>
      </c>
      <c r="N61">
        <f t="shared" si="11"/>
        <v>3.2388426918417639</v>
      </c>
      <c r="O61">
        <f t="shared" si="11"/>
        <v>1.6960545323489358</v>
      </c>
      <c r="P61">
        <f t="shared" si="11"/>
        <v>0.8882233368739797</v>
      </c>
      <c r="Q61">
        <f t="shared" si="11"/>
        <v>0.46528892071108163</v>
      </c>
      <c r="R61">
        <f t="shared" si="11"/>
        <v>0.24397970352298565</v>
      </c>
      <c r="S61">
        <f t="shared" si="11"/>
        <v>0.12839502452818344</v>
      </c>
      <c r="T61">
        <f t="shared" si="11"/>
        <v>6.8448189495594031E-2</v>
      </c>
      <c r="U61">
        <f t="shared" si="11"/>
        <v>3.8162236577762049E-2</v>
      </c>
      <c r="V61">
        <f t="shared" si="11"/>
        <v>2.4413252843626963E-2</v>
      </c>
      <c r="W61">
        <f t="shared" si="11"/>
        <v>2.1243345341730224E-2</v>
      </c>
      <c r="X61">
        <f t="shared" si="25"/>
        <v>2.7278887487916587E-2</v>
      </c>
      <c r="Y61">
        <f t="shared" si="25"/>
        <v>4.5135280878866799E-2</v>
      </c>
      <c r="Z61">
        <f t="shared" si="25"/>
        <v>8.2550295983992647E-2</v>
      </c>
      <c r="AA61">
        <f t="shared" si="25"/>
        <v>0.1557371060155153</v>
      </c>
      <c r="AB61">
        <f t="shared" si="21"/>
        <v>0.29640999532042794</v>
      </c>
      <c r="AC61">
        <f t="shared" si="21"/>
        <v>0.56552721593085942</v>
      </c>
      <c r="AD61">
        <f t="shared" si="21"/>
        <v>1.0797062301113298</v>
      </c>
      <c r="AE61">
        <f t="shared" si="21"/>
        <v>2.0617579440067098</v>
      </c>
      <c r="AF61">
        <f t="shared" si="21"/>
        <v>3.937238100304997</v>
      </c>
      <c r="AG61">
        <f t="shared" si="21"/>
        <v>7.5188547667354504</v>
      </c>
      <c r="AH61">
        <f t="shared" si="21"/>
        <v>14.358641832084601</v>
      </c>
      <c r="AI61">
        <f t="shared" si="21"/>
        <v>27.420507024670414</v>
      </c>
      <c r="AJ61">
        <f t="shared" si="21"/>
        <v>52.364591927946741</v>
      </c>
      <c r="AK61">
        <f t="shared" si="13"/>
        <v>100</v>
      </c>
      <c r="AL61" s="24"/>
      <c r="AM61" s="4">
        <v>2.6666666666666668E-2</v>
      </c>
      <c r="AN61" s="15">
        <f t="shared" si="14"/>
        <v>-538200000</v>
      </c>
      <c r="AO61" s="15">
        <f t="shared" si="14"/>
        <v>0</v>
      </c>
      <c r="AP61" s="15">
        <f t="shared" si="14"/>
        <v>0</v>
      </c>
      <c r="AQ61" s="15">
        <f t="shared" si="14"/>
        <v>0</v>
      </c>
      <c r="AR61" s="15">
        <f t="shared" si="14"/>
        <v>0</v>
      </c>
      <c r="AS61" s="15">
        <f t="shared" si="14"/>
        <v>0</v>
      </c>
      <c r="AT61" s="15">
        <f t="shared" si="14"/>
        <v>0</v>
      </c>
      <c r="AU61" s="15">
        <f t="shared" si="14"/>
        <v>0</v>
      </c>
      <c r="AV61" s="15">
        <f t="shared" si="14"/>
        <v>0</v>
      </c>
      <c r="AW61" s="15">
        <f t="shared" si="14"/>
        <v>0</v>
      </c>
      <c r="AX61" s="15">
        <f t="shared" si="14"/>
        <v>0</v>
      </c>
      <c r="AY61" s="15">
        <f t="shared" si="14"/>
        <v>0</v>
      </c>
      <c r="AZ61" s="15">
        <f t="shared" si="14"/>
        <v>0</v>
      </c>
      <c r="BA61" s="15">
        <f t="shared" si="14"/>
        <v>0</v>
      </c>
      <c r="BB61" s="15">
        <f t="shared" si="14"/>
        <v>0</v>
      </c>
      <c r="BC61" s="15">
        <f t="shared" si="14"/>
        <v>0</v>
      </c>
      <c r="BD61" s="15">
        <f t="shared" si="22"/>
        <v>0</v>
      </c>
      <c r="BE61" s="15">
        <f t="shared" si="22"/>
        <v>0</v>
      </c>
      <c r="BF61" s="15">
        <f t="shared" si="22"/>
        <v>0</v>
      </c>
      <c r="BG61" s="15">
        <f t="shared" si="22"/>
        <v>0</v>
      </c>
      <c r="BH61" s="15">
        <f t="shared" si="22"/>
        <v>0</v>
      </c>
      <c r="BI61" s="15">
        <f t="shared" si="22"/>
        <v>0</v>
      </c>
      <c r="BJ61" s="15">
        <f t="shared" si="22"/>
        <v>0</v>
      </c>
      <c r="BK61" s="15">
        <f t="shared" si="22"/>
        <v>0</v>
      </c>
      <c r="BL61" s="15">
        <f t="shared" si="19"/>
        <v>0</v>
      </c>
      <c r="BM61" s="15">
        <f t="shared" si="19"/>
        <v>0</v>
      </c>
      <c r="BN61" s="15">
        <f t="shared" si="19"/>
        <v>0</v>
      </c>
      <c r="BO61" s="15">
        <f t="shared" si="19"/>
        <v>0</v>
      </c>
      <c r="BP61" s="15">
        <f t="shared" si="19"/>
        <v>0</v>
      </c>
      <c r="BQ61" s="15">
        <f t="shared" si="19"/>
        <v>0</v>
      </c>
      <c r="BR61" s="15">
        <f t="shared" si="19"/>
        <v>-179400000</v>
      </c>
      <c r="BT61" s="24"/>
      <c r="BU61" s="4">
        <v>2.6666666666666668E-2</v>
      </c>
      <c r="BV61" s="6">
        <v>0</v>
      </c>
      <c r="BW61" s="6">
        <f t="shared" si="28"/>
        <v>0.41095890410958902</v>
      </c>
      <c r="BX61" s="6">
        <f t="shared" si="28"/>
        <v>0.49446827726349057</v>
      </c>
      <c r="BY61" s="6">
        <f t="shared" si="28"/>
        <v>0.51576565211146774</v>
      </c>
      <c r="BZ61" s="6">
        <f t="shared" si="28"/>
        <v>0.52149397895713612</v>
      </c>
      <c r="CA61" s="6">
        <f t="shared" si="28"/>
        <v>0.52305649933975962</v>
      </c>
      <c r="CB61" s="6">
        <f t="shared" si="28"/>
        <v>0.52348433598989241</v>
      </c>
      <c r="CC61" s="6">
        <f t="shared" si="28"/>
        <v>0.52360160483419294</v>
      </c>
      <c r="CD61" s="6">
        <f t="shared" si="28"/>
        <v>0.52363375707534621</v>
      </c>
      <c r="CE61" s="6">
        <f t="shared" si="28"/>
        <v>0.52364257312109652</v>
      </c>
      <c r="CF61" s="6">
        <f t="shared" si="28"/>
        <v>0.5236449905056163</v>
      </c>
      <c r="CG61" s="6">
        <f t="shared" si="28"/>
        <v>0.52364565336314417</v>
      </c>
      <c r="CH61" s="6">
        <f t="shared" si="28"/>
        <v>0.52364583512190344</v>
      </c>
      <c r="CI61" s="6">
        <f t="shared" si="28"/>
        <v>0.52364588496106157</v>
      </c>
      <c r="CJ61" s="6">
        <f t="shared" si="28"/>
        <v>0.52364589862720901</v>
      </c>
      <c r="CK61" s="6">
        <f t="shared" si="28"/>
        <v>0.52364590237453534</v>
      </c>
      <c r="CL61" s="6">
        <f t="shared" si="28"/>
        <v>0.52364590340207107</v>
      </c>
      <c r="CM61" s="6">
        <f t="shared" si="28"/>
        <v>0.52364590368382657</v>
      </c>
      <c r="CN61" s="6">
        <f t="shared" si="28"/>
        <v>0.52364590376108522</v>
      </c>
      <c r="CO61" s="6">
        <f t="shared" si="28"/>
        <v>0.52364590378227005</v>
      </c>
      <c r="CP61" s="6">
        <f t="shared" si="28"/>
        <v>0.52364590378807896</v>
      </c>
      <c r="CQ61" s="6">
        <f t="shared" si="28"/>
        <v>0.5236459037896718</v>
      </c>
      <c r="CR61" s="6">
        <f t="shared" si="28"/>
        <v>0.52364590379010867</v>
      </c>
      <c r="CS61" s="6">
        <f t="shared" si="28"/>
        <v>0.52364590379022846</v>
      </c>
      <c r="CT61" s="6">
        <f t="shared" si="28"/>
        <v>0.52364590379026121</v>
      </c>
      <c r="CU61" s="6">
        <f t="shared" si="28"/>
        <v>0.52364590379027021</v>
      </c>
      <c r="CV61" s="6">
        <f t="shared" si="28"/>
        <v>0.52364590379027265</v>
      </c>
      <c r="CW61" s="6">
        <f t="shared" si="28"/>
        <v>0.52364590379027331</v>
      </c>
      <c r="CX61" s="6">
        <f t="shared" si="28"/>
        <v>0.52364590379027354</v>
      </c>
      <c r="CY61" s="6">
        <f t="shared" si="28"/>
        <v>0.52364590379027354</v>
      </c>
      <c r="CZ61" s="6">
        <f t="shared" si="16"/>
        <v>100</v>
      </c>
      <c r="DB61" s="24"/>
      <c r="DC61" s="4">
        <v>2.6666666666666668E-2</v>
      </c>
      <c r="DD61" s="6">
        <f t="shared" si="17"/>
        <v>300</v>
      </c>
      <c r="DE61" s="6">
        <f t="shared" si="18"/>
        <v>123.28767123287672</v>
      </c>
      <c r="DF61" s="6">
        <f t="shared" si="18"/>
        <v>60.961842402348154</v>
      </c>
      <c r="DG61" s="6">
        <f t="shared" si="18"/>
        <v>31.442024400563621</v>
      </c>
      <c r="DH61" s="6">
        <f t="shared" si="18"/>
        <v>16.396826411117285</v>
      </c>
      <c r="DI61" s="6">
        <f t="shared" si="18"/>
        <v>8.5764666228807211</v>
      </c>
      <c r="DJ61" s="6">
        <f t="shared" si="18"/>
        <v>4.4896459352181886</v>
      </c>
      <c r="DK61" s="6">
        <f t="shared" si="18"/>
        <v>2.3507858168175546</v>
      </c>
      <c r="DL61" s="6">
        <f t="shared" si="18"/>
        <v>1.2309508093396129</v>
      </c>
      <c r="DM61" s="6">
        <f t="shared" si="18"/>
        <v>0.64457824918809103</v>
      </c>
      <c r="DN61" s="6">
        <f t="shared" si="18"/>
        <v>0.33753017117622475</v>
      </c>
      <c r="DO61" s="6">
        <f t="shared" si="18"/>
        <v>0.17674620701534813</v>
      </c>
      <c r="DP61" s="6">
        <f t="shared" si="18"/>
        <v>9.2552415177180797E-2</v>
      </c>
      <c r="DQ61" s="6">
        <f t="shared" si="18"/>
        <v>4.8464691350738429E-2</v>
      </c>
      <c r="DR61" s="6">
        <f t="shared" si="18"/>
        <v>2.5378336854047744E-2</v>
      </c>
      <c r="DS61" s="6">
        <f t="shared" si="18"/>
        <v>1.3289262102702756E-2</v>
      </c>
      <c r="DT61" s="6">
        <f t="shared" si="18"/>
        <v>6.9588676593166912E-3</v>
      </c>
      <c r="DU61" s="6">
        <f t="shared" si="24"/>
        <v>3.6439825440790436E-3</v>
      </c>
      <c r="DV61" s="6">
        <f t="shared" si="24"/>
        <v>1.9081565325838894E-3</v>
      </c>
      <c r="DW61" s="6">
        <f t="shared" si="24"/>
        <v>9.9919835206293325E-4</v>
      </c>
      <c r="DX61" s="6">
        <f t="shared" si="24"/>
        <v>5.2322612412955387E-4</v>
      </c>
      <c r="DY61" s="6">
        <f t="shared" si="24"/>
        <v>2.7398521665618727E-4</v>
      </c>
      <c r="DZ61" s="6">
        <f t="shared" si="24"/>
        <v>1.434712364010579E-4</v>
      </c>
      <c r="EA61" s="6">
        <f t="shared" si="24"/>
        <v>7.5128125253133484E-5</v>
      </c>
      <c r="EB61" s="6">
        <f t="shared" si="24"/>
        <v>3.9340535048245028E-5</v>
      </c>
      <c r="EC61" s="6">
        <f t="shared" si="20"/>
        <v>2.0600510030931069E-5</v>
      </c>
      <c r="ED61" s="6">
        <f t="shared" si="20"/>
        <v>1.0787372693687478E-5</v>
      </c>
      <c r="EE61" s="6">
        <f t="shared" si="20"/>
        <v>5.6487635237084939E-6</v>
      </c>
      <c r="EF61" s="6">
        <f t="shared" si="20"/>
        <v>2.9579518806698644E-6</v>
      </c>
      <c r="EG61" s="6">
        <f t="shared" si="20"/>
        <v>1.5489193859215107E-6</v>
      </c>
      <c r="EH61" s="6">
        <f t="shared" si="20"/>
        <v>22.691323308663819</v>
      </c>
    </row>
    <row r="62" spans="5:138">
      <c r="E62" s="26"/>
      <c r="F62" s="4">
        <v>2.3333333333333334E-2</v>
      </c>
      <c r="G62">
        <f t="shared" si="10"/>
        <v>300</v>
      </c>
      <c r="H62">
        <f t="shared" si="11"/>
        <v>157.09377165338856</v>
      </c>
      <c r="I62">
        <f t="shared" si="11"/>
        <v>82.261511023245447</v>
      </c>
      <c r="J62">
        <f t="shared" si="11"/>
        <v>43.075905169842066</v>
      </c>
      <c r="K62">
        <f t="shared" si="11"/>
        <v>22.556524890036922</v>
      </c>
      <c r="L62">
        <f t="shared" si="11"/>
        <v>11.811638729247784</v>
      </c>
      <c r="M62">
        <f t="shared" si="11"/>
        <v>6.1851293511326899</v>
      </c>
      <c r="N62">
        <f t="shared" si="11"/>
        <v>3.2388426918417639</v>
      </c>
      <c r="O62">
        <f t="shared" si="11"/>
        <v>1.6960545323489358</v>
      </c>
      <c r="P62">
        <f t="shared" si="11"/>
        <v>0.8882233368739797</v>
      </c>
      <c r="Q62">
        <f t="shared" si="11"/>
        <v>0.46528892071108163</v>
      </c>
      <c r="R62">
        <f t="shared" si="11"/>
        <v>0.24397970352298565</v>
      </c>
      <c r="S62">
        <f t="shared" si="11"/>
        <v>0.12839502452818344</v>
      </c>
      <c r="T62">
        <f t="shared" si="11"/>
        <v>6.8448189495594031E-2</v>
      </c>
      <c r="U62">
        <f t="shared" si="11"/>
        <v>3.8162236577762049E-2</v>
      </c>
      <c r="V62">
        <f t="shared" si="11"/>
        <v>2.4413252843626963E-2</v>
      </c>
      <c r="W62">
        <f t="shared" si="11"/>
        <v>2.1243345341730224E-2</v>
      </c>
      <c r="X62">
        <f t="shared" si="25"/>
        <v>2.7278887487916587E-2</v>
      </c>
      <c r="Y62">
        <f t="shared" si="25"/>
        <v>4.5135280878866799E-2</v>
      </c>
      <c r="Z62">
        <f t="shared" si="25"/>
        <v>8.2550295983992647E-2</v>
      </c>
      <c r="AA62">
        <f t="shared" si="25"/>
        <v>0.1557371060155153</v>
      </c>
      <c r="AB62">
        <f t="shared" si="21"/>
        <v>0.29640999532042794</v>
      </c>
      <c r="AC62">
        <f t="shared" si="21"/>
        <v>0.56552721593085942</v>
      </c>
      <c r="AD62">
        <f t="shared" si="21"/>
        <v>1.0797062301113298</v>
      </c>
      <c r="AE62">
        <f t="shared" si="21"/>
        <v>2.0617579440067098</v>
      </c>
      <c r="AF62">
        <f t="shared" si="21"/>
        <v>3.937238100304997</v>
      </c>
      <c r="AG62">
        <f t="shared" si="21"/>
        <v>7.5188547667354504</v>
      </c>
      <c r="AH62">
        <f t="shared" si="21"/>
        <v>14.358641832084601</v>
      </c>
      <c r="AI62">
        <f t="shared" si="21"/>
        <v>27.420507024670414</v>
      </c>
      <c r="AJ62">
        <f t="shared" si="21"/>
        <v>52.364591927946741</v>
      </c>
      <c r="AK62">
        <f t="shared" si="13"/>
        <v>100</v>
      </c>
      <c r="AL62" s="24"/>
      <c r="AM62" s="4">
        <v>2.3333333333333334E-2</v>
      </c>
      <c r="AN62" s="15">
        <f t="shared" si="14"/>
        <v>-538200000</v>
      </c>
      <c r="AO62" s="15">
        <f t="shared" si="14"/>
        <v>0</v>
      </c>
      <c r="AP62" s="15">
        <f t="shared" si="14"/>
        <v>0</v>
      </c>
      <c r="AQ62" s="15">
        <f t="shared" si="14"/>
        <v>0</v>
      </c>
      <c r="AR62" s="15">
        <f t="shared" si="14"/>
        <v>0</v>
      </c>
      <c r="AS62" s="15">
        <f t="shared" si="14"/>
        <v>0</v>
      </c>
      <c r="AT62" s="15">
        <f t="shared" si="14"/>
        <v>0</v>
      </c>
      <c r="AU62" s="15">
        <f t="shared" si="14"/>
        <v>0</v>
      </c>
      <c r="AV62" s="15">
        <f t="shared" si="14"/>
        <v>0</v>
      </c>
      <c r="AW62" s="15">
        <f t="shared" si="14"/>
        <v>0</v>
      </c>
      <c r="AX62" s="15">
        <f t="shared" si="14"/>
        <v>0</v>
      </c>
      <c r="AY62" s="15">
        <f t="shared" si="14"/>
        <v>0</v>
      </c>
      <c r="AZ62" s="15">
        <f t="shared" si="14"/>
        <v>0</v>
      </c>
      <c r="BA62" s="15">
        <f t="shared" si="14"/>
        <v>0</v>
      </c>
      <c r="BB62" s="15">
        <f t="shared" si="14"/>
        <v>0</v>
      </c>
      <c r="BC62" s="15">
        <f t="shared" si="14"/>
        <v>0</v>
      </c>
      <c r="BD62" s="15">
        <f t="shared" si="22"/>
        <v>0</v>
      </c>
      <c r="BE62" s="15">
        <f t="shared" si="22"/>
        <v>0</v>
      </c>
      <c r="BF62" s="15">
        <f t="shared" si="22"/>
        <v>0</v>
      </c>
      <c r="BG62" s="15">
        <f t="shared" si="22"/>
        <v>0</v>
      </c>
      <c r="BH62" s="15">
        <f t="shared" si="22"/>
        <v>0</v>
      </c>
      <c r="BI62" s="15">
        <f t="shared" si="22"/>
        <v>0</v>
      </c>
      <c r="BJ62" s="15">
        <f t="shared" si="22"/>
        <v>0</v>
      </c>
      <c r="BK62" s="15">
        <f t="shared" si="22"/>
        <v>0</v>
      </c>
      <c r="BL62" s="15">
        <f t="shared" si="19"/>
        <v>0</v>
      </c>
      <c r="BM62" s="15">
        <f t="shared" si="19"/>
        <v>0</v>
      </c>
      <c r="BN62" s="15">
        <f t="shared" si="19"/>
        <v>0</v>
      </c>
      <c r="BO62" s="15">
        <f t="shared" si="19"/>
        <v>0</v>
      </c>
      <c r="BP62" s="15">
        <f t="shared" si="19"/>
        <v>0</v>
      </c>
      <c r="BQ62" s="15">
        <f t="shared" si="19"/>
        <v>0</v>
      </c>
      <c r="BR62" s="15">
        <f t="shared" si="19"/>
        <v>-179400000</v>
      </c>
      <c r="BT62" s="24"/>
      <c r="BU62" s="4">
        <v>2.3333333333333334E-2</v>
      </c>
      <c r="BV62" s="6">
        <v>0</v>
      </c>
      <c r="BW62" s="6">
        <f t="shared" si="28"/>
        <v>0.41095890410958902</v>
      </c>
      <c r="BX62" s="6">
        <f t="shared" si="28"/>
        <v>0.49446827726349057</v>
      </c>
      <c r="BY62" s="6">
        <f t="shared" si="28"/>
        <v>0.51576565211146774</v>
      </c>
      <c r="BZ62" s="6">
        <f t="shared" si="28"/>
        <v>0.52149397895713612</v>
      </c>
      <c r="CA62" s="6">
        <f t="shared" si="28"/>
        <v>0.52305649933975962</v>
      </c>
      <c r="CB62" s="6">
        <f t="shared" si="28"/>
        <v>0.52348433598989241</v>
      </c>
      <c r="CC62" s="6">
        <f t="shared" si="28"/>
        <v>0.52360160483419294</v>
      </c>
      <c r="CD62" s="6">
        <f t="shared" si="28"/>
        <v>0.52363375707534621</v>
      </c>
      <c r="CE62" s="6">
        <f t="shared" si="28"/>
        <v>0.52364257312109652</v>
      </c>
      <c r="CF62" s="6">
        <f t="shared" si="28"/>
        <v>0.5236449905056163</v>
      </c>
      <c r="CG62" s="6">
        <f t="shared" si="28"/>
        <v>0.52364565336314417</v>
      </c>
      <c r="CH62" s="6">
        <f t="shared" si="28"/>
        <v>0.52364583512190344</v>
      </c>
      <c r="CI62" s="6">
        <f t="shared" si="28"/>
        <v>0.52364588496106157</v>
      </c>
      <c r="CJ62" s="6">
        <f t="shared" si="28"/>
        <v>0.52364589862720901</v>
      </c>
      <c r="CK62" s="6">
        <f t="shared" si="28"/>
        <v>0.52364590237453534</v>
      </c>
      <c r="CL62" s="6">
        <f t="shared" si="28"/>
        <v>0.52364590340207107</v>
      </c>
      <c r="CM62" s="6">
        <f t="shared" si="28"/>
        <v>0.52364590368382657</v>
      </c>
      <c r="CN62" s="6">
        <f t="shared" si="28"/>
        <v>0.52364590376108522</v>
      </c>
      <c r="CO62" s="6">
        <f t="shared" si="28"/>
        <v>0.52364590378227005</v>
      </c>
      <c r="CP62" s="6">
        <f t="shared" si="28"/>
        <v>0.52364590378807896</v>
      </c>
      <c r="CQ62" s="6">
        <f t="shared" si="28"/>
        <v>0.5236459037896718</v>
      </c>
      <c r="CR62" s="6">
        <f t="shared" si="28"/>
        <v>0.52364590379010867</v>
      </c>
      <c r="CS62" s="6">
        <f t="shared" si="28"/>
        <v>0.52364590379022846</v>
      </c>
      <c r="CT62" s="6">
        <f t="shared" si="28"/>
        <v>0.52364590379026121</v>
      </c>
      <c r="CU62" s="6">
        <f t="shared" si="28"/>
        <v>0.52364590379027021</v>
      </c>
      <c r="CV62" s="6">
        <f t="shared" si="28"/>
        <v>0.52364590379027265</v>
      </c>
      <c r="CW62" s="6">
        <f t="shared" si="28"/>
        <v>0.52364590379027331</v>
      </c>
      <c r="CX62" s="6">
        <f t="shared" si="28"/>
        <v>0.52364590379027354</v>
      </c>
      <c r="CY62" s="6">
        <f t="shared" si="28"/>
        <v>0.52364590379027354</v>
      </c>
      <c r="CZ62" s="6">
        <f t="shared" si="16"/>
        <v>100</v>
      </c>
      <c r="DB62" s="24"/>
      <c r="DC62" s="4">
        <v>2.3333333333333334E-2</v>
      </c>
      <c r="DD62" s="6">
        <f t="shared" si="17"/>
        <v>300</v>
      </c>
      <c r="DE62" s="6">
        <f t="shared" si="18"/>
        <v>123.28767123287672</v>
      </c>
      <c r="DF62" s="6">
        <f t="shared" si="18"/>
        <v>60.961842402348154</v>
      </c>
      <c r="DG62" s="6">
        <f t="shared" si="18"/>
        <v>31.442024400563621</v>
      </c>
      <c r="DH62" s="6">
        <f t="shared" si="18"/>
        <v>16.396826411117285</v>
      </c>
      <c r="DI62" s="6">
        <f t="shared" si="18"/>
        <v>8.5764666228807211</v>
      </c>
      <c r="DJ62" s="6">
        <f t="shared" si="18"/>
        <v>4.4896459352181886</v>
      </c>
      <c r="DK62" s="6">
        <f t="shared" si="18"/>
        <v>2.3507858168175546</v>
      </c>
      <c r="DL62" s="6">
        <f t="shared" si="18"/>
        <v>1.2309508093396129</v>
      </c>
      <c r="DM62" s="6">
        <f t="shared" si="18"/>
        <v>0.64457824918809103</v>
      </c>
      <c r="DN62" s="6">
        <f t="shared" si="18"/>
        <v>0.33753017117622475</v>
      </c>
      <c r="DO62" s="6">
        <f t="shared" si="18"/>
        <v>0.17674620701534813</v>
      </c>
      <c r="DP62" s="6">
        <f t="shared" si="18"/>
        <v>9.2552415177180797E-2</v>
      </c>
      <c r="DQ62" s="6">
        <f t="shared" si="18"/>
        <v>4.8464691350738429E-2</v>
      </c>
      <c r="DR62" s="6">
        <f t="shared" si="18"/>
        <v>2.5378336854047744E-2</v>
      </c>
      <c r="DS62" s="6">
        <f t="shared" si="18"/>
        <v>1.3289262102702756E-2</v>
      </c>
      <c r="DT62" s="6">
        <f t="shared" si="18"/>
        <v>6.9588676593166912E-3</v>
      </c>
      <c r="DU62" s="6">
        <f t="shared" si="24"/>
        <v>3.6439825440790436E-3</v>
      </c>
      <c r="DV62" s="6">
        <f t="shared" si="24"/>
        <v>1.9081565325838894E-3</v>
      </c>
      <c r="DW62" s="6">
        <f t="shared" si="24"/>
        <v>9.9919835206293325E-4</v>
      </c>
      <c r="DX62" s="6">
        <f t="shared" si="24"/>
        <v>5.2322612412955387E-4</v>
      </c>
      <c r="DY62" s="6">
        <f t="shared" si="24"/>
        <v>2.7398521665618727E-4</v>
      </c>
      <c r="DZ62" s="6">
        <f t="shared" si="24"/>
        <v>1.434712364010579E-4</v>
      </c>
      <c r="EA62" s="6">
        <f t="shared" si="24"/>
        <v>7.5128125253133484E-5</v>
      </c>
      <c r="EB62" s="6">
        <f t="shared" si="24"/>
        <v>3.9340535048245028E-5</v>
      </c>
      <c r="EC62" s="6">
        <f t="shared" si="20"/>
        <v>2.0600510030931069E-5</v>
      </c>
      <c r="ED62" s="6">
        <f t="shared" si="20"/>
        <v>1.0787372693687478E-5</v>
      </c>
      <c r="EE62" s="6">
        <f t="shared" si="20"/>
        <v>5.6487635237084939E-6</v>
      </c>
      <c r="EF62" s="6">
        <f t="shared" si="20"/>
        <v>2.9579518806698644E-6</v>
      </c>
      <c r="EG62" s="6">
        <f t="shared" si="20"/>
        <v>1.5489193859215107E-6</v>
      </c>
      <c r="EH62" s="6">
        <f t="shared" si="20"/>
        <v>22.691323308663819</v>
      </c>
    </row>
    <row r="63" spans="5:138">
      <c r="E63" s="26"/>
      <c r="F63" s="4">
        <v>0.02</v>
      </c>
      <c r="G63">
        <f t="shared" si="10"/>
        <v>300</v>
      </c>
      <c r="H63">
        <f t="shared" si="11"/>
        <v>157.09377165338856</v>
      </c>
      <c r="I63">
        <f t="shared" si="11"/>
        <v>82.261511023245447</v>
      </c>
      <c r="J63">
        <f t="shared" si="11"/>
        <v>43.075905169842066</v>
      </c>
      <c r="K63">
        <f t="shared" si="11"/>
        <v>22.556524890036922</v>
      </c>
      <c r="L63">
        <f t="shared" si="11"/>
        <v>11.811638729247784</v>
      </c>
      <c r="M63">
        <f t="shared" si="11"/>
        <v>6.1851293511326899</v>
      </c>
      <c r="N63">
        <f t="shared" si="11"/>
        <v>3.2388426918417639</v>
      </c>
      <c r="O63">
        <f t="shared" si="11"/>
        <v>1.6960545323489358</v>
      </c>
      <c r="P63">
        <f t="shared" si="11"/>
        <v>0.8882233368739797</v>
      </c>
      <c r="Q63">
        <f t="shared" si="11"/>
        <v>0.46528892071108163</v>
      </c>
      <c r="R63">
        <f t="shared" si="11"/>
        <v>0.24397970352298565</v>
      </c>
      <c r="S63">
        <f t="shared" si="11"/>
        <v>0.12839502452818344</v>
      </c>
      <c r="T63">
        <f t="shared" si="11"/>
        <v>6.8448189495594031E-2</v>
      </c>
      <c r="U63">
        <f t="shared" si="11"/>
        <v>3.8162236577762049E-2</v>
      </c>
      <c r="V63">
        <f t="shared" si="11"/>
        <v>2.4413252843626963E-2</v>
      </c>
      <c r="W63">
        <f t="shared" si="11"/>
        <v>2.1243345341730224E-2</v>
      </c>
      <c r="X63">
        <f t="shared" si="25"/>
        <v>2.7278887487916587E-2</v>
      </c>
      <c r="Y63">
        <f t="shared" si="25"/>
        <v>4.5135280878866799E-2</v>
      </c>
      <c r="Z63">
        <f t="shared" si="25"/>
        <v>8.2550295983992647E-2</v>
      </c>
      <c r="AA63">
        <f t="shared" si="25"/>
        <v>0.1557371060155153</v>
      </c>
      <c r="AB63">
        <f t="shared" si="21"/>
        <v>0.29640999532042794</v>
      </c>
      <c r="AC63">
        <f t="shared" si="21"/>
        <v>0.56552721593085942</v>
      </c>
      <c r="AD63">
        <f t="shared" si="21"/>
        <v>1.0797062301113298</v>
      </c>
      <c r="AE63">
        <f t="shared" si="21"/>
        <v>2.0617579440067098</v>
      </c>
      <c r="AF63">
        <f t="shared" si="21"/>
        <v>3.937238100304997</v>
      </c>
      <c r="AG63">
        <f t="shared" si="21"/>
        <v>7.5188547667354504</v>
      </c>
      <c r="AH63">
        <f t="shared" si="21"/>
        <v>14.358641832084601</v>
      </c>
      <c r="AI63">
        <f t="shared" si="21"/>
        <v>27.420507024670414</v>
      </c>
      <c r="AJ63">
        <f t="shared" si="21"/>
        <v>52.364591927946741</v>
      </c>
      <c r="AK63">
        <f t="shared" si="13"/>
        <v>100</v>
      </c>
      <c r="AL63" s="24"/>
      <c r="AM63" s="4">
        <v>0.02</v>
      </c>
      <c r="AN63" s="15">
        <f t="shared" ref="AN63:BC69" si="29">-($B$12*$B$11)/$B$8*G27</f>
        <v>-538200000</v>
      </c>
      <c r="AO63" s="15">
        <f t="shared" si="29"/>
        <v>0</v>
      </c>
      <c r="AP63" s="15">
        <f t="shared" si="29"/>
        <v>0</v>
      </c>
      <c r="AQ63" s="15">
        <f t="shared" si="29"/>
        <v>0</v>
      </c>
      <c r="AR63" s="15">
        <f t="shared" si="29"/>
        <v>0</v>
      </c>
      <c r="AS63" s="15">
        <f t="shared" si="29"/>
        <v>0</v>
      </c>
      <c r="AT63" s="15">
        <f t="shared" si="29"/>
        <v>0</v>
      </c>
      <c r="AU63" s="15">
        <f t="shared" si="29"/>
        <v>0</v>
      </c>
      <c r="AV63" s="15">
        <f t="shared" si="29"/>
        <v>0</v>
      </c>
      <c r="AW63" s="15">
        <f t="shared" si="29"/>
        <v>0</v>
      </c>
      <c r="AX63" s="15">
        <f t="shared" si="29"/>
        <v>0</v>
      </c>
      <c r="AY63" s="15">
        <f t="shared" si="29"/>
        <v>0</v>
      </c>
      <c r="AZ63" s="15">
        <f t="shared" si="29"/>
        <v>0</v>
      </c>
      <c r="BA63" s="15">
        <f t="shared" si="29"/>
        <v>0</v>
      </c>
      <c r="BB63" s="15">
        <f t="shared" si="29"/>
        <v>0</v>
      </c>
      <c r="BC63" s="15">
        <f t="shared" si="29"/>
        <v>0</v>
      </c>
      <c r="BD63" s="15">
        <f t="shared" si="22"/>
        <v>0</v>
      </c>
      <c r="BE63" s="15">
        <f t="shared" si="22"/>
        <v>0</v>
      </c>
      <c r="BF63" s="15">
        <f t="shared" si="22"/>
        <v>0</v>
      </c>
      <c r="BG63" s="15">
        <f t="shared" si="22"/>
        <v>0</v>
      </c>
      <c r="BH63" s="15">
        <f t="shared" si="22"/>
        <v>0</v>
      </c>
      <c r="BI63" s="15">
        <f t="shared" si="22"/>
        <v>0</v>
      </c>
      <c r="BJ63" s="15">
        <f t="shared" si="22"/>
        <v>0</v>
      </c>
      <c r="BK63" s="15">
        <f t="shared" si="22"/>
        <v>0</v>
      </c>
      <c r="BL63" s="15">
        <f t="shared" si="19"/>
        <v>0</v>
      </c>
      <c r="BM63" s="15">
        <f t="shared" si="19"/>
        <v>0</v>
      </c>
      <c r="BN63" s="15">
        <f t="shared" si="19"/>
        <v>0</v>
      </c>
      <c r="BO63" s="15">
        <f t="shared" si="19"/>
        <v>0</v>
      </c>
      <c r="BP63" s="15">
        <f t="shared" si="19"/>
        <v>0</v>
      </c>
      <c r="BQ63" s="15">
        <f t="shared" si="19"/>
        <v>0</v>
      </c>
      <c r="BR63" s="15">
        <f t="shared" si="19"/>
        <v>-179400000</v>
      </c>
      <c r="BT63" s="24"/>
      <c r="BU63" s="4">
        <v>0.02</v>
      </c>
      <c r="BV63" s="6">
        <v>0</v>
      </c>
      <c r="BW63" s="6">
        <f t="shared" si="28"/>
        <v>0.41095890410958902</v>
      </c>
      <c r="BX63" s="6">
        <f t="shared" si="28"/>
        <v>0.49446827726349057</v>
      </c>
      <c r="BY63" s="6">
        <f t="shared" si="28"/>
        <v>0.51576565211146774</v>
      </c>
      <c r="BZ63" s="6">
        <f t="shared" si="28"/>
        <v>0.52149397895713612</v>
      </c>
      <c r="CA63" s="6">
        <f t="shared" si="28"/>
        <v>0.52305649933975962</v>
      </c>
      <c r="CB63" s="6">
        <f t="shared" si="28"/>
        <v>0.52348433598989241</v>
      </c>
      <c r="CC63" s="6">
        <f t="shared" si="28"/>
        <v>0.52360160483419294</v>
      </c>
      <c r="CD63" s="6">
        <f t="shared" si="28"/>
        <v>0.52363375707534621</v>
      </c>
      <c r="CE63" s="6">
        <f t="shared" si="28"/>
        <v>0.52364257312109652</v>
      </c>
      <c r="CF63" s="6">
        <f t="shared" si="28"/>
        <v>0.5236449905056163</v>
      </c>
      <c r="CG63" s="6">
        <f t="shared" si="28"/>
        <v>0.52364565336314417</v>
      </c>
      <c r="CH63" s="6">
        <f t="shared" si="28"/>
        <v>0.52364583512190344</v>
      </c>
      <c r="CI63" s="6">
        <f t="shared" si="28"/>
        <v>0.52364588496106157</v>
      </c>
      <c r="CJ63" s="6">
        <f t="shared" si="28"/>
        <v>0.52364589862720901</v>
      </c>
      <c r="CK63" s="6">
        <f t="shared" si="28"/>
        <v>0.52364590237453534</v>
      </c>
      <c r="CL63" s="6">
        <f t="shared" si="28"/>
        <v>0.52364590340207107</v>
      </c>
      <c r="CM63" s="6">
        <f t="shared" si="28"/>
        <v>0.52364590368382657</v>
      </c>
      <c r="CN63" s="6">
        <f t="shared" si="28"/>
        <v>0.52364590376108522</v>
      </c>
      <c r="CO63" s="6">
        <f t="shared" si="28"/>
        <v>0.52364590378227005</v>
      </c>
      <c r="CP63" s="6">
        <f t="shared" si="28"/>
        <v>0.52364590378807896</v>
      </c>
      <c r="CQ63" s="6">
        <f t="shared" si="28"/>
        <v>0.5236459037896718</v>
      </c>
      <c r="CR63" s="6">
        <f t="shared" si="28"/>
        <v>0.52364590379010867</v>
      </c>
      <c r="CS63" s="6">
        <f t="shared" si="28"/>
        <v>0.52364590379022846</v>
      </c>
      <c r="CT63" s="6">
        <f t="shared" si="28"/>
        <v>0.52364590379026121</v>
      </c>
      <c r="CU63" s="6">
        <f t="shared" si="28"/>
        <v>0.52364590379027021</v>
      </c>
      <c r="CV63" s="6">
        <f t="shared" si="28"/>
        <v>0.52364590379027265</v>
      </c>
      <c r="CW63" s="6">
        <f t="shared" si="28"/>
        <v>0.52364590379027331</v>
      </c>
      <c r="CX63" s="6">
        <f t="shared" si="28"/>
        <v>0.52364590379027354</v>
      </c>
      <c r="CY63" s="6">
        <f t="shared" si="28"/>
        <v>0.52364590379027354</v>
      </c>
      <c r="CZ63" s="6">
        <f t="shared" si="16"/>
        <v>100</v>
      </c>
      <c r="DB63" s="24"/>
      <c r="DC63" s="4">
        <v>0.02</v>
      </c>
      <c r="DD63" s="6">
        <f t="shared" si="17"/>
        <v>300</v>
      </c>
      <c r="DE63" s="6">
        <f t="shared" si="18"/>
        <v>123.28767123287672</v>
      </c>
      <c r="DF63" s="6">
        <f t="shared" si="18"/>
        <v>60.961842402348154</v>
      </c>
      <c r="DG63" s="6">
        <f t="shared" si="18"/>
        <v>31.442024400563621</v>
      </c>
      <c r="DH63" s="6">
        <f t="shared" si="18"/>
        <v>16.396826411117285</v>
      </c>
      <c r="DI63" s="6">
        <f t="shared" si="18"/>
        <v>8.5764666228807211</v>
      </c>
      <c r="DJ63" s="6">
        <f t="shared" si="18"/>
        <v>4.4896459352181886</v>
      </c>
      <c r="DK63" s="6">
        <f t="shared" si="18"/>
        <v>2.3507858168175546</v>
      </c>
      <c r="DL63" s="6">
        <f t="shared" ref="DL63:DT69" si="30">(DK63*$B$22-AV63)/($B$21-$B$22*CC63)</f>
        <v>1.2309508093396129</v>
      </c>
      <c r="DM63" s="6">
        <f t="shared" si="30"/>
        <v>0.64457824918809103</v>
      </c>
      <c r="DN63" s="6">
        <f t="shared" si="30"/>
        <v>0.33753017117622475</v>
      </c>
      <c r="DO63" s="6">
        <f t="shared" si="30"/>
        <v>0.17674620701534813</v>
      </c>
      <c r="DP63" s="6">
        <f t="shared" si="30"/>
        <v>9.2552415177180797E-2</v>
      </c>
      <c r="DQ63" s="6">
        <f t="shared" si="30"/>
        <v>4.8464691350738429E-2</v>
      </c>
      <c r="DR63" s="6">
        <f t="shared" si="30"/>
        <v>2.5378336854047744E-2</v>
      </c>
      <c r="DS63" s="6">
        <f t="shared" si="30"/>
        <v>1.3289262102702756E-2</v>
      </c>
      <c r="DT63" s="6">
        <f t="shared" si="30"/>
        <v>6.9588676593166912E-3</v>
      </c>
      <c r="DU63" s="6">
        <f t="shared" si="24"/>
        <v>3.6439825440790436E-3</v>
      </c>
      <c r="DV63" s="6">
        <f t="shared" si="24"/>
        <v>1.9081565325838894E-3</v>
      </c>
      <c r="DW63" s="6">
        <f t="shared" si="24"/>
        <v>9.9919835206293325E-4</v>
      </c>
      <c r="DX63" s="6">
        <f t="shared" si="24"/>
        <v>5.2322612412955387E-4</v>
      </c>
      <c r="DY63" s="6">
        <f t="shared" si="24"/>
        <v>2.7398521665618727E-4</v>
      </c>
      <c r="DZ63" s="6">
        <f t="shared" si="24"/>
        <v>1.434712364010579E-4</v>
      </c>
      <c r="EA63" s="6">
        <f t="shared" si="24"/>
        <v>7.5128125253133484E-5</v>
      </c>
      <c r="EB63" s="6">
        <f t="shared" si="24"/>
        <v>3.9340535048245028E-5</v>
      </c>
      <c r="EC63" s="6">
        <f t="shared" si="20"/>
        <v>2.0600510030931069E-5</v>
      </c>
      <c r="ED63" s="6">
        <f t="shared" si="20"/>
        <v>1.0787372693687478E-5</v>
      </c>
      <c r="EE63" s="6">
        <f t="shared" si="20"/>
        <v>5.6487635237084939E-6</v>
      </c>
      <c r="EF63" s="6">
        <f t="shared" si="20"/>
        <v>2.9579518806698644E-6</v>
      </c>
      <c r="EG63" s="6">
        <f t="shared" si="20"/>
        <v>1.5489193859215107E-6</v>
      </c>
      <c r="EH63" s="6">
        <f t="shared" si="20"/>
        <v>22.691323308663819</v>
      </c>
    </row>
    <row r="64" spans="5:138">
      <c r="E64" s="26"/>
      <c r="F64" s="4">
        <v>1.6666666666666666E-2</v>
      </c>
      <c r="G64">
        <f t="shared" si="10"/>
        <v>300</v>
      </c>
      <c r="H64">
        <f t="shared" si="11"/>
        <v>157.09377165338856</v>
      </c>
      <c r="I64">
        <f t="shared" si="11"/>
        <v>82.261511023245447</v>
      </c>
      <c r="J64">
        <f t="shared" si="11"/>
        <v>43.075905169842066</v>
      </c>
      <c r="K64">
        <f t="shared" si="11"/>
        <v>22.556524890036922</v>
      </c>
      <c r="L64">
        <f t="shared" si="11"/>
        <v>11.811638729247784</v>
      </c>
      <c r="M64">
        <f t="shared" si="11"/>
        <v>6.1851293511326899</v>
      </c>
      <c r="N64">
        <f t="shared" ref="N64:W69" si="31">CC64*O64+DK64</f>
        <v>3.2388426918417639</v>
      </c>
      <c r="O64">
        <f t="shared" si="31"/>
        <v>1.6960545323489358</v>
      </c>
      <c r="P64">
        <f t="shared" si="31"/>
        <v>0.8882233368739797</v>
      </c>
      <c r="Q64">
        <f t="shared" si="31"/>
        <v>0.46528892071108163</v>
      </c>
      <c r="R64">
        <f t="shared" si="31"/>
        <v>0.24397970352298565</v>
      </c>
      <c r="S64">
        <f t="shared" si="31"/>
        <v>0.12839502452818344</v>
      </c>
      <c r="T64">
        <f t="shared" si="31"/>
        <v>6.8448189495594031E-2</v>
      </c>
      <c r="U64">
        <f t="shared" si="31"/>
        <v>3.8162236577762049E-2</v>
      </c>
      <c r="V64">
        <f t="shared" si="31"/>
        <v>2.4413252843626963E-2</v>
      </c>
      <c r="W64">
        <f t="shared" si="31"/>
        <v>2.1243345341730224E-2</v>
      </c>
      <c r="X64">
        <f t="shared" si="25"/>
        <v>2.7278887487916587E-2</v>
      </c>
      <c r="Y64">
        <f t="shared" si="25"/>
        <v>4.5135280878866799E-2</v>
      </c>
      <c r="Z64">
        <f t="shared" si="25"/>
        <v>8.2550295983992647E-2</v>
      </c>
      <c r="AA64">
        <f t="shared" si="25"/>
        <v>0.1557371060155153</v>
      </c>
      <c r="AB64">
        <f t="shared" si="21"/>
        <v>0.29640999532042794</v>
      </c>
      <c r="AC64">
        <f t="shared" si="21"/>
        <v>0.56552721593085942</v>
      </c>
      <c r="AD64">
        <f t="shared" si="21"/>
        <v>1.0797062301113298</v>
      </c>
      <c r="AE64">
        <f t="shared" si="21"/>
        <v>2.0617579440067098</v>
      </c>
      <c r="AF64">
        <f t="shared" si="21"/>
        <v>3.937238100304997</v>
      </c>
      <c r="AG64">
        <f t="shared" si="21"/>
        <v>7.5188547667354504</v>
      </c>
      <c r="AH64">
        <f t="shared" si="21"/>
        <v>14.358641832084601</v>
      </c>
      <c r="AI64">
        <f t="shared" si="21"/>
        <v>27.420507024670414</v>
      </c>
      <c r="AJ64">
        <f t="shared" si="21"/>
        <v>52.364591927946741</v>
      </c>
      <c r="AK64">
        <f t="shared" si="13"/>
        <v>100</v>
      </c>
      <c r="AL64" s="24"/>
      <c r="AM64" s="4">
        <v>1.6666666666666666E-2</v>
      </c>
      <c r="AN64" s="15">
        <f t="shared" si="29"/>
        <v>-538200000</v>
      </c>
      <c r="AO64" s="15">
        <f t="shared" si="29"/>
        <v>0</v>
      </c>
      <c r="AP64" s="15">
        <f t="shared" si="29"/>
        <v>0</v>
      </c>
      <c r="AQ64" s="15">
        <f t="shared" si="29"/>
        <v>0</v>
      </c>
      <c r="AR64" s="15">
        <f t="shared" si="29"/>
        <v>0</v>
      </c>
      <c r="AS64" s="15">
        <f t="shared" si="29"/>
        <v>0</v>
      </c>
      <c r="AT64" s="15">
        <f t="shared" si="29"/>
        <v>0</v>
      </c>
      <c r="AU64" s="15">
        <f t="shared" si="29"/>
        <v>0</v>
      </c>
      <c r="AV64" s="15">
        <f t="shared" si="29"/>
        <v>0</v>
      </c>
      <c r="AW64" s="15">
        <f t="shared" si="29"/>
        <v>0</v>
      </c>
      <c r="AX64" s="15">
        <f t="shared" si="29"/>
        <v>0</v>
      </c>
      <c r="AY64" s="15">
        <f t="shared" si="29"/>
        <v>0</v>
      </c>
      <c r="AZ64" s="15">
        <f t="shared" si="29"/>
        <v>0</v>
      </c>
      <c r="BA64" s="15">
        <f t="shared" si="29"/>
        <v>0</v>
      </c>
      <c r="BB64" s="15">
        <f t="shared" si="29"/>
        <v>0</v>
      </c>
      <c r="BC64" s="15">
        <f t="shared" si="29"/>
        <v>0</v>
      </c>
      <c r="BD64" s="15">
        <f t="shared" si="22"/>
        <v>0</v>
      </c>
      <c r="BE64" s="15">
        <f t="shared" si="22"/>
        <v>0</v>
      </c>
      <c r="BF64" s="15">
        <f t="shared" si="22"/>
        <v>0</v>
      </c>
      <c r="BG64" s="15">
        <f t="shared" si="22"/>
        <v>0</v>
      </c>
      <c r="BH64" s="15">
        <f t="shared" si="22"/>
        <v>0</v>
      </c>
      <c r="BI64" s="15">
        <f t="shared" si="22"/>
        <v>0</v>
      </c>
      <c r="BJ64" s="15">
        <f t="shared" si="22"/>
        <v>0</v>
      </c>
      <c r="BK64" s="15">
        <f t="shared" si="22"/>
        <v>0</v>
      </c>
      <c r="BL64" s="15">
        <f t="shared" si="19"/>
        <v>0</v>
      </c>
      <c r="BM64" s="15">
        <f t="shared" si="19"/>
        <v>0</v>
      </c>
      <c r="BN64" s="15">
        <f t="shared" si="19"/>
        <v>0</v>
      </c>
      <c r="BO64" s="15">
        <f t="shared" si="19"/>
        <v>0</v>
      </c>
      <c r="BP64" s="15">
        <f t="shared" si="19"/>
        <v>0</v>
      </c>
      <c r="BQ64" s="15">
        <f t="shared" si="19"/>
        <v>0</v>
      </c>
      <c r="BR64" s="15">
        <f t="shared" si="19"/>
        <v>-179400000</v>
      </c>
      <c r="BT64" s="24"/>
      <c r="BU64" s="4">
        <v>1.6666666666666666E-2</v>
      </c>
      <c r="BV64" s="6">
        <v>0</v>
      </c>
      <c r="BW64" s="6">
        <f t="shared" si="28"/>
        <v>0.41095890410958902</v>
      </c>
      <c r="BX64" s="6">
        <f t="shared" si="28"/>
        <v>0.49446827726349057</v>
      </c>
      <c r="BY64" s="6">
        <f t="shared" si="28"/>
        <v>0.51576565211146774</v>
      </c>
      <c r="BZ64" s="6">
        <f t="shared" si="28"/>
        <v>0.52149397895713612</v>
      </c>
      <c r="CA64" s="6">
        <f t="shared" si="28"/>
        <v>0.52305649933975962</v>
      </c>
      <c r="CB64" s="6">
        <f t="shared" si="28"/>
        <v>0.52348433598989241</v>
      </c>
      <c r="CC64" s="6">
        <f t="shared" si="28"/>
        <v>0.52360160483419294</v>
      </c>
      <c r="CD64" s="6">
        <f t="shared" si="28"/>
        <v>0.52363375707534621</v>
      </c>
      <c r="CE64" s="6">
        <f t="shared" si="28"/>
        <v>0.52364257312109652</v>
      </c>
      <c r="CF64" s="6">
        <f t="shared" si="28"/>
        <v>0.5236449905056163</v>
      </c>
      <c r="CG64" s="6">
        <f t="shared" si="28"/>
        <v>0.52364565336314417</v>
      </c>
      <c r="CH64" s="6">
        <f t="shared" si="28"/>
        <v>0.52364583512190344</v>
      </c>
      <c r="CI64" s="6">
        <f t="shared" si="28"/>
        <v>0.52364588496106157</v>
      </c>
      <c r="CJ64" s="6">
        <f t="shared" si="28"/>
        <v>0.52364589862720901</v>
      </c>
      <c r="CK64" s="6">
        <f t="shared" si="28"/>
        <v>0.52364590237453534</v>
      </c>
      <c r="CL64" s="6">
        <f t="shared" si="28"/>
        <v>0.52364590340207107</v>
      </c>
      <c r="CM64" s="6">
        <f t="shared" si="28"/>
        <v>0.52364590368382657</v>
      </c>
      <c r="CN64" s="6">
        <f t="shared" si="28"/>
        <v>0.52364590376108522</v>
      </c>
      <c r="CO64" s="6">
        <f t="shared" si="28"/>
        <v>0.52364590378227005</v>
      </c>
      <c r="CP64" s="6">
        <f t="shared" si="28"/>
        <v>0.52364590378807896</v>
      </c>
      <c r="CQ64" s="6">
        <f t="shared" si="28"/>
        <v>0.5236459037896718</v>
      </c>
      <c r="CR64" s="6">
        <f t="shared" si="28"/>
        <v>0.52364590379010867</v>
      </c>
      <c r="CS64" s="6">
        <f t="shared" si="28"/>
        <v>0.52364590379022846</v>
      </c>
      <c r="CT64" s="6">
        <f t="shared" si="28"/>
        <v>0.52364590379026121</v>
      </c>
      <c r="CU64" s="6">
        <f t="shared" si="28"/>
        <v>0.52364590379027021</v>
      </c>
      <c r="CV64" s="6">
        <f t="shared" si="28"/>
        <v>0.52364590379027265</v>
      </c>
      <c r="CW64" s="6">
        <f t="shared" si="28"/>
        <v>0.52364590379027331</v>
      </c>
      <c r="CX64" s="6">
        <f t="shared" si="28"/>
        <v>0.52364590379027354</v>
      </c>
      <c r="CY64" s="6">
        <f t="shared" si="28"/>
        <v>0.52364590379027354</v>
      </c>
      <c r="CZ64" s="6">
        <f t="shared" si="16"/>
        <v>100</v>
      </c>
      <c r="DB64" s="24"/>
      <c r="DC64" s="4">
        <v>1.6666666666666666E-2</v>
      </c>
      <c r="DD64" s="6">
        <f t="shared" si="17"/>
        <v>300</v>
      </c>
      <c r="DE64" s="6">
        <f t="shared" ref="DE64:DK69" si="32">(DD64*$B$22-AO64)/($B$21-$B$22*BV64)</f>
        <v>123.28767123287672</v>
      </c>
      <c r="DF64" s="6">
        <f t="shared" si="32"/>
        <v>60.961842402348154</v>
      </c>
      <c r="DG64" s="6">
        <f t="shared" si="32"/>
        <v>31.442024400563621</v>
      </c>
      <c r="DH64" s="6">
        <f t="shared" si="32"/>
        <v>16.396826411117285</v>
      </c>
      <c r="DI64" s="6">
        <f t="shared" si="32"/>
        <v>8.5764666228807211</v>
      </c>
      <c r="DJ64" s="6">
        <f t="shared" si="32"/>
        <v>4.4896459352181886</v>
      </c>
      <c r="DK64" s="6">
        <f t="shared" si="32"/>
        <v>2.3507858168175546</v>
      </c>
      <c r="DL64" s="6">
        <f t="shared" si="30"/>
        <v>1.2309508093396129</v>
      </c>
      <c r="DM64" s="6">
        <f t="shared" si="30"/>
        <v>0.64457824918809103</v>
      </c>
      <c r="DN64" s="6">
        <f t="shared" si="30"/>
        <v>0.33753017117622475</v>
      </c>
      <c r="DO64" s="6">
        <f t="shared" si="30"/>
        <v>0.17674620701534813</v>
      </c>
      <c r="DP64" s="6">
        <f t="shared" si="30"/>
        <v>9.2552415177180797E-2</v>
      </c>
      <c r="DQ64" s="6">
        <f t="shared" si="30"/>
        <v>4.8464691350738429E-2</v>
      </c>
      <c r="DR64" s="6">
        <f t="shared" si="30"/>
        <v>2.5378336854047744E-2</v>
      </c>
      <c r="DS64" s="6">
        <f t="shared" si="30"/>
        <v>1.3289262102702756E-2</v>
      </c>
      <c r="DT64" s="6">
        <f t="shared" si="30"/>
        <v>6.9588676593166912E-3</v>
      </c>
      <c r="DU64" s="6">
        <f t="shared" si="24"/>
        <v>3.6439825440790436E-3</v>
      </c>
      <c r="DV64" s="6">
        <f t="shared" si="24"/>
        <v>1.9081565325838894E-3</v>
      </c>
      <c r="DW64" s="6">
        <f t="shared" si="24"/>
        <v>9.9919835206293325E-4</v>
      </c>
      <c r="DX64" s="6">
        <f t="shared" si="24"/>
        <v>5.2322612412955387E-4</v>
      </c>
      <c r="DY64" s="6">
        <f t="shared" si="24"/>
        <v>2.7398521665618727E-4</v>
      </c>
      <c r="DZ64" s="6">
        <f t="shared" si="24"/>
        <v>1.434712364010579E-4</v>
      </c>
      <c r="EA64" s="6">
        <f t="shared" si="24"/>
        <v>7.5128125253133484E-5</v>
      </c>
      <c r="EB64" s="6">
        <f t="shared" si="24"/>
        <v>3.9340535048245028E-5</v>
      </c>
      <c r="EC64" s="6">
        <f t="shared" si="20"/>
        <v>2.0600510030931069E-5</v>
      </c>
      <c r="ED64" s="6">
        <f t="shared" si="20"/>
        <v>1.0787372693687478E-5</v>
      </c>
      <c r="EE64" s="6">
        <f t="shared" si="20"/>
        <v>5.6487635237084939E-6</v>
      </c>
      <c r="EF64" s="6">
        <f t="shared" si="20"/>
        <v>2.9579518806698644E-6</v>
      </c>
      <c r="EG64" s="6">
        <f t="shared" si="20"/>
        <v>1.5489193859215107E-6</v>
      </c>
      <c r="EH64" s="6">
        <f t="shared" si="20"/>
        <v>22.691323308663819</v>
      </c>
    </row>
    <row r="65" spans="5:138">
      <c r="E65" s="26"/>
      <c r="F65" s="4">
        <v>1.3333333333333334E-2</v>
      </c>
      <c r="G65">
        <f t="shared" si="10"/>
        <v>300</v>
      </c>
      <c r="H65">
        <f t="shared" ref="H65:M69" si="33">BW65*I65+DE65</f>
        <v>157.09377165338856</v>
      </c>
      <c r="I65">
        <f t="shared" si="33"/>
        <v>82.261511023245447</v>
      </c>
      <c r="J65">
        <f t="shared" si="33"/>
        <v>43.075905169842066</v>
      </c>
      <c r="K65">
        <f t="shared" si="33"/>
        <v>22.556524890036922</v>
      </c>
      <c r="L65">
        <f t="shared" si="33"/>
        <v>11.811638729247784</v>
      </c>
      <c r="M65">
        <f t="shared" si="33"/>
        <v>6.1851293511326899</v>
      </c>
      <c r="N65">
        <f t="shared" si="31"/>
        <v>3.2388426918417639</v>
      </c>
      <c r="O65">
        <f t="shared" si="31"/>
        <v>1.6960545323489358</v>
      </c>
      <c r="P65">
        <f t="shared" si="31"/>
        <v>0.8882233368739797</v>
      </c>
      <c r="Q65">
        <f t="shared" si="31"/>
        <v>0.46528892071108163</v>
      </c>
      <c r="R65">
        <f t="shared" si="31"/>
        <v>0.24397970352298565</v>
      </c>
      <c r="S65">
        <f t="shared" si="31"/>
        <v>0.12839502452818344</v>
      </c>
      <c r="T65">
        <f t="shared" si="31"/>
        <v>6.8448189495594031E-2</v>
      </c>
      <c r="U65">
        <f t="shared" si="31"/>
        <v>3.8162236577762049E-2</v>
      </c>
      <c r="V65">
        <f t="shared" si="31"/>
        <v>2.4413252843626963E-2</v>
      </c>
      <c r="W65">
        <f t="shared" si="31"/>
        <v>2.1243345341730224E-2</v>
      </c>
      <c r="X65">
        <f t="shared" si="25"/>
        <v>2.7278887487916587E-2</v>
      </c>
      <c r="Y65">
        <f t="shared" si="25"/>
        <v>4.5135280878866799E-2</v>
      </c>
      <c r="Z65">
        <f t="shared" si="25"/>
        <v>8.2550295983992647E-2</v>
      </c>
      <c r="AA65">
        <f t="shared" si="25"/>
        <v>0.1557371060155153</v>
      </c>
      <c r="AB65">
        <f t="shared" si="21"/>
        <v>0.29640999532042794</v>
      </c>
      <c r="AC65">
        <f t="shared" si="21"/>
        <v>0.56552721593085942</v>
      </c>
      <c r="AD65">
        <f t="shared" si="21"/>
        <v>1.0797062301113298</v>
      </c>
      <c r="AE65">
        <f t="shared" si="21"/>
        <v>2.0617579440067098</v>
      </c>
      <c r="AF65">
        <f t="shared" si="21"/>
        <v>3.937238100304997</v>
      </c>
      <c r="AG65">
        <f t="shared" si="21"/>
        <v>7.5188547667354504</v>
      </c>
      <c r="AH65">
        <f t="shared" si="21"/>
        <v>14.358641832084601</v>
      </c>
      <c r="AI65">
        <f t="shared" si="21"/>
        <v>27.420507024670414</v>
      </c>
      <c r="AJ65">
        <f t="shared" si="21"/>
        <v>52.364591927946741</v>
      </c>
      <c r="AK65">
        <f t="shared" si="13"/>
        <v>100</v>
      </c>
      <c r="AL65" s="24"/>
      <c r="AM65" s="4">
        <v>1.3333333333333334E-2</v>
      </c>
      <c r="AN65" s="15">
        <f t="shared" si="29"/>
        <v>-538200000</v>
      </c>
      <c r="AO65" s="15">
        <f t="shared" si="29"/>
        <v>0</v>
      </c>
      <c r="AP65" s="15">
        <f t="shared" si="29"/>
        <v>0</v>
      </c>
      <c r="AQ65" s="15">
        <f t="shared" si="29"/>
        <v>0</v>
      </c>
      <c r="AR65" s="15">
        <f t="shared" si="29"/>
        <v>0</v>
      </c>
      <c r="AS65" s="15">
        <f t="shared" si="29"/>
        <v>0</v>
      </c>
      <c r="AT65" s="15">
        <f t="shared" si="29"/>
        <v>0</v>
      </c>
      <c r="AU65" s="15">
        <f t="shared" si="29"/>
        <v>0</v>
      </c>
      <c r="AV65" s="15">
        <f t="shared" si="29"/>
        <v>0</v>
      </c>
      <c r="AW65" s="15">
        <f t="shared" si="29"/>
        <v>0</v>
      </c>
      <c r="AX65" s="15">
        <f t="shared" si="29"/>
        <v>0</v>
      </c>
      <c r="AY65" s="15">
        <f t="shared" si="29"/>
        <v>0</v>
      </c>
      <c r="AZ65" s="15">
        <f t="shared" si="29"/>
        <v>0</v>
      </c>
      <c r="BA65" s="15">
        <f t="shared" si="29"/>
        <v>0</v>
      </c>
      <c r="BB65" s="15">
        <f t="shared" si="29"/>
        <v>0</v>
      </c>
      <c r="BC65" s="15">
        <f t="shared" si="29"/>
        <v>0</v>
      </c>
      <c r="BD65" s="15">
        <f t="shared" si="22"/>
        <v>0</v>
      </c>
      <c r="BE65" s="15">
        <f t="shared" si="22"/>
        <v>0</v>
      </c>
      <c r="BF65" s="15">
        <f t="shared" si="22"/>
        <v>0</v>
      </c>
      <c r="BG65" s="15">
        <f t="shared" si="22"/>
        <v>0</v>
      </c>
      <c r="BH65" s="15">
        <f t="shared" si="22"/>
        <v>0</v>
      </c>
      <c r="BI65" s="15">
        <f t="shared" si="22"/>
        <v>0</v>
      </c>
      <c r="BJ65" s="15">
        <f t="shared" si="22"/>
        <v>0</v>
      </c>
      <c r="BK65" s="15">
        <f t="shared" si="22"/>
        <v>0</v>
      </c>
      <c r="BL65" s="15">
        <f t="shared" si="19"/>
        <v>0</v>
      </c>
      <c r="BM65" s="15">
        <f t="shared" si="19"/>
        <v>0</v>
      </c>
      <c r="BN65" s="15">
        <f t="shared" si="19"/>
        <v>0</v>
      </c>
      <c r="BO65" s="15">
        <f t="shared" si="19"/>
        <v>0</v>
      </c>
      <c r="BP65" s="15">
        <f t="shared" si="19"/>
        <v>0</v>
      </c>
      <c r="BQ65" s="15">
        <f t="shared" si="19"/>
        <v>0</v>
      </c>
      <c r="BR65" s="15">
        <f t="shared" si="19"/>
        <v>-179400000</v>
      </c>
      <c r="BT65" s="24"/>
      <c r="BU65" s="4">
        <v>1.3333333333333334E-2</v>
      </c>
      <c r="BV65" s="6">
        <v>0</v>
      </c>
      <c r="BW65" s="6">
        <f t="shared" si="28"/>
        <v>0.41095890410958902</v>
      </c>
      <c r="BX65" s="6">
        <f t="shared" si="28"/>
        <v>0.49446827726349057</v>
      </c>
      <c r="BY65" s="6">
        <f t="shared" si="28"/>
        <v>0.51576565211146774</v>
      </c>
      <c r="BZ65" s="6">
        <f t="shared" si="28"/>
        <v>0.52149397895713612</v>
      </c>
      <c r="CA65" s="6">
        <f t="shared" si="28"/>
        <v>0.52305649933975962</v>
      </c>
      <c r="CB65" s="6">
        <f t="shared" si="28"/>
        <v>0.52348433598989241</v>
      </c>
      <c r="CC65" s="6">
        <f t="shared" si="28"/>
        <v>0.52360160483419294</v>
      </c>
      <c r="CD65" s="6">
        <f t="shared" si="28"/>
        <v>0.52363375707534621</v>
      </c>
      <c r="CE65" s="6">
        <f t="shared" si="28"/>
        <v>0.52364257312109652</v>
      </c>
      <c r="CF65" s="6">
        <f t="shared" si="28"/>
        <v>0.5236449905056163</v>
      </c>
      <c r="CG65" s="6">
        <f t="shared" si="28"/>
        <v>0.52364565336314417</v>
      </c>
      <c r="CH65" s="6">
        <f t="shared" si="28"/>
        <v>0.52364583512190344</v>
      </c>
      <c r="CI65" s="6">
        <f t="shared" si="28"/>
        <v>0.52364588496106157</v>
      </c>
      <c r="CJ65" s="6">
        <f t="shared" si="28"/>
        <v>0.52364589862720901</v>
      </c>
      <c r="CK65" s="6">
        <f t="shared" si="28"/>
        <v>0.52364590237453534</v>
      </c>
      <c r="CL65" s="6">
        <f t="shared" si="28"/>
        <v>0.52364590340207107</v>
      </c>
      <c r="CM65" s="6">
        <f t="shared" si="28"/>
        <v>0.52364590368382657</v>
      </c>
      <c r="CN65" s="6">
        <f t="shared" si="28"/>
        <v>0.52364590376108522</v>
      </c>
      <c r="CO65" s="6">
        <f t="shared" si="28"/>
        <v>0.52364590378227005</v>
      </c>
      <c r="CP65" s="6">
        <f t="shared" si="28"/>
        <v>0.52364590378807896</v>
      </c>
      <c r="CQ65" s="6">
        <f t="shared" si="28"/>
        <v>0.5236459037896718</v>
      </c>
      <c r="CR65" s="6">
        <f t="shared" si="28"/>
        <v>0.52364590379010867</v>
      </c>
      <c r="CS65" s="6">
        <f t="shared" si="28"/>
        <v>0.52364590379022846</v>
      </c>
      <c r="CT65" s="6">
        <f t="shared" si="28"/>
        <v>0.52364590379026121</v>
      </c>
      <c r="CU65" s="6">
        <f t="shared" si="28"/>
        <v>0.52364590379027021</v>
      </c>
      <c r="CV65" s="6">
        <f t="shared" si="28"/>
        <v>0.52364590379027265</v>
      </c>
      <c r="CW65" s="6">
        <f t="shared" si="28"/>
        <v>0.52364590379027331</v>
      </c>
      <c r="CX65" s="6">
        <f t="shared" si="28"/>
        <v>0.52364590379027354</v>
      </c>
      <c r="CY65" s="6">
        <f t="shared" si="28"/>
        <v>0.52364590379027354</v>
      </c>
      <c r="CZ65" s="6">
        <f t="shared" si="16"/>
        <v>100</v>
      </c>
      <c r="DB65" s="24"/>
      <c r="DC65" s="4">
        <v>1.3333333333333334E-2</v>
      </c>
      <c r="DD65" s="6">
        <f t="shared" si="17"/>
        <v>300</v>
      </c>
      <c r="DE65" s="6">
        <f t="shared" si="32"/>
        <v>123.28767123287672</v>
      </c>
      <c r="DF65" s="6">
        <f t="shared" si="32"/>
        <v>60.961842402348154</v>
      </c>
      <c r="DG65" s="6">
        <f t="shared" si="32"/>
        <v>31.442024400563621</v>
      </c>
      <c r="DH65" s="6">
        <f t="shared" si="32"/>
        <v>16.396826411117285</v>
      </c>
      <c r="DI65" s="6">
        <f t="shared" si="32"/>
        <v>8.5764666228807211</v>
      </c>
      <c r="DJ65" s="6">
        <f t="shared" si="32"/>
        <v>4.4896459352181886</v>
      </c>
      <c r="DK65" s="6">
        <f t="shared" si="32"/>
        <v>2.3507858168175546</v>
      </c>
      <c r="DL65" s="6">
        <f t="shared" si="30"/>
        <v>1.2309508093396129</v>
      </c>
      <c r="DM65" s="6">
        <f t="shared" si="30"/>
        <v>0.64457824918809103</v>
      </c>
      <c r="DN65" s="6">
        <f t="shared" si="30"/>
        <v>0.33753017117622475</v>
      </c>
      <c r="DO65" s="6">
        <f t="shared" si="30"/>
        <v>0.17674620701534813</v>
      </c>
      <c r="DP65" s="6">
        <f t="shared" si="30"/>
        <v>9.2552415177180797E-2</v>
      </c>
      <c r="DQ65" s="6">
        <f t="shared" si="30"/>
        <v>4.8464691350738429E-2</v>
      </c>
      <c r="DR65" s="6">
        <f t="shared" si="30"/>
        <v>2.5378336854047744E-2</v>
      </c>
      <c r="DS65" s="6">
        <f t="shared" si="30"/>
        <v>1.3289262102702756E-2</v>
      </c>
      <c r="DT65" s="6">
        <f t="shared" si="30"/>
        <v>6.9588676593166912E-3</v>
      </c>
      <c r="DU65" s="6">
        <f t="shared" si="24"/>
        <v>3.6439825440790436E-3</v>
      </c>
      <c r="DV65" s="6">
        <f t="shared" si="24"/>
        <v>1.9081565325838894E-3</v>
      </c>
      <c r="DW65" s="6">
        <f t="shared" si="24"/>
        <v>9.9919835206293325E-4</v>
      </c>
      <c r="DX65" s="6">
        <f t="shared" si="24"/>
        <v>5.2322612412955387E-4</v>
      </c>
      <c r="DY65" s="6">
        <f t="shared" si="24"/>
        <v>2.7398521665618727E-4</v>
      </c>
      <c r="DZ65" s="6">
        <f t="shared" si="24"/>
        <v>1.434712364010579E-4</v>
      </c>
      <c r="EA65" s="6">
        <f t="shared" si="24"/>
        <v>7.5128125253133484E-5</v>
      </c>
      <c r="EB65" s="6">
        <f t="shared" si="24"/>
        <v>3.9340535048245028E-5</v>
      </c>
      <c r="EC65" s="6">
        <f t="shared" si="20"/>
        <v>2.0600510030931069E-5</v>
      </c>
      <c r="ED65" s="6">
        <f t="shared" si="20"/>
        <v>1.0787372693687478E-5</v>
      </c>
      <c r="EE65" s="6">
        <f t="shared" si="20"/>
        <v>5.6487635237084939E-6</v>
      </c>
      <c r="EF65" s="6">
        <f t="shared" si="20"/>
        <v>2.9579518806698644E-6</v>
      </c>
      <c r="EG65" s="6">
        <f t="shared" si="20"/>
        <v>1.5489193859215107E-6</v>
      </c>
      <c r="EH65" s="6">
        <f t="shared" si="20"/>
        <v>22.691323308663819</v>
      </c>
    </row>
    <row r="66" spans="5:138">
      <c r="E66" s="26"/>
      <c r="F66" s="4">
        <v>0.01</v>
      </c>
      <c r="G66">
        <f t="shared" si="10"/>
        <v>300</v>
      </c>
      <c r="H66">
        <f t="shared" si="33"/>
        <v>157.09377165338856</v>
      </c>
      <c r="I66">
        <f t="shared" si="33"/>
        <v>82.261511023245447</v>
      </c>
      <c r="J66">
        <f t="shared" si="33"/>
        <v>43.075905169842066</v>
      </c>
      <c r="K66">
        <f t="shared" si="33"/>
        <v>22.556524890036922</v>
      </c>
      <c r="L66">
        <f t="shared" si="33"/>
        <v>11.811638729247784</v>
      </c>
      <c r="M66">
        <f t="shared" si="33"/>
        <v>6.1851293511326899</v>
      </c>
      <c r="N66">
        <f t="shared" si="31"/>
        <v>3.2388426918417639</v>
      </c>
      <c r="O66">
        <f t="shared" si="31"/>
        <v>1.6960545323489358</v>
      </c>
      <c r="P66">
        <f t="shared" si="31"/>
        <v>0.8882233368739797</v>
      </c>
      <c r="Q66">
        <f t="shared" si="31"/>
        <v>0.46528892071108163</v>
      </c>
      <c r="R66">
        <f t="shared" si="31"/>
        <v>0.24397970352298565</v>
      </c>
      <c r="S66">
        <f t="shared" si="31"/>
        <v>0.12839502452818344</v>
      </c>
      <c r="T66">
        <f t="shared" si="31"/>
        <v>6.8448189495594031E-2</v>
      </c>
      <c r="U66">
        <f t="shared" si="31"/>
        <v>3.8162236577762049E-2</v>
      </c>
      <c r="V66">
        <f t="shared" si="31"/>
        <v>2.4413252843626963E-2</v>
      </c>
      <c r="W66">
        <f t="shared" si="31"/>
        <v>2.1243345341730224E-2</v>
      </c>
      <c r="X66">
        <f t="shared" si="25"/>
        <v>2.7278887487916587E-2</v>
      </c>
      <c r="Y66">
        <f t="shared" si="25"/>
        <v>4.5135280878866799E-2</v>
      </c>
      <c r="Z66">
        <f t="shared" si="25"/>
        <v>8.2550295983992647E-2</v>
      </c>
      <c r="AA66">
        <f t="shared" si="25"/>
        <v>0.1557371060155153</v>
      </c>
      <c r="AB66">
        <f t="shared" si="21"/>
        <v>0.29640999532042794</v>
      </c>
      <c r="AC66">
        <f t="shared" si="21"/>
        <v>0.56552721593085942</v>
      </c>
      <c r="AD66">
        <f t="shared" si="21"/>
        <v>1.0797062301113298</v>
      </c>
      <c r="AE66">
        <f t="shared" si="21"/>
        <v>2.0617579440067098</v>
      </c>
      <c r="AF66">
        <f t="shared" si="21"/>
        <v>3.937238100304997</v>
      </c>
      <c r="AG66">
        <f t="shared" si="21"/>
        <v>7.5188547667354504</v>
      </c>
      <c r="AH66">
        <f t="shared" si="21"/>
        <v>14.358641832084601</v>
      </c>
      <c r="AI66">
        <f t="shared" si="21"/>
        <v>27.420507024670414</v>
      </c>
      <c r="AJ66">
        <f t="shared" si="21"/>
        <v>52.364591927946741</v>
      </c>
      <c r="AK66">
        <f t="shared" si="13"/>
        <v>100</v>
      </c>
      <c r="AL66" s="24"/>
      <c r="AM66" s="4">
        <v>0.01</v>
      </c>
      <c r="AN66" s="15">
        <f t="shared" si="29"/>
        <v>-538200000</v>
      </c>
      <c r="AO66" s="15">
        <f t="shared" si="29"/>
        <v>0</v>
      </c>
      <c r="AP66" s="15">
        <f t="shared" si="29"/>
        <v>0</v>
      </c>
      <c r="AQ66" s="15">
        <f t="shared" si="29"/>
        <v>0</v>
      </c>
      <c r="AR66" s="15">
        <f t="shared" si="29"/>
        <v>0</v>
      </c>
      <c r="AS66" s="15">
        <f t="shared" si="29"/>
        <v>0</v>
      </c>
      <c r="AT66" s="15">
        <f t="shared" si="29"/>
        <v>0</v>
      </c>
      <c r="AU66" s="15">
        <f t="shared" si="29"/>
        <v>0</v>
      </c>
      <c r="AV66" s="15">
        <f t="shared" si="29"/>
        <v>0</v>
      </c>
      <c r="AW66" s="15">
        <f t="shared" si="29"/>
        <v>0</v>
      </c>
      <c r="AX66" s="15">
        <f t="shared" si="29"/>
        <v>0</v>
      </c>
      <c r="AY66" s="15">
        <f t="shared" si="29"/>
        <v>0</v>
      </c>
      <c r="AZ66" s="15">
        <f t="shared" si="29"/>
        <v>0</v>
      </c>
      <c r="BA66" s="15">
        <f t="shared" si="29"/>
        <v>0</v>
      </c>
      <c r="BB66" s="15">
        <f t="shared" si="29"/>
        <v>0</v>
      </c>
      <c r="BC66" s="15">
        <f t="shared" si="29"/>
        <v>0</v>
      </c>
      <c r="BD66" s="15">
        <f t="shared" si="22"/>
        <v>0</v>
      </c>
      <c r="BE66" s="15">
        <f t="shared" si="22"/>
        <v>0</v>
      </c>
      <c r="BF66" s="15">
        <f t="shared" si="22"/>
        <v>0</v>
      </c>
      <c r="BG66" s="15">
        <f t="shared" si="22"/>
        <v>0</v>
      </c>
      <c r="BH66" s="15">
        <f t="shared" si="22"/>
        <v>0</v>
      </c>
      <c r="BI66" s="15">
        <f t="shared" si="22"/>
        <v>0</v>
      </c>
      <c r="BJ66" s="15">
        <f t="shared" si="22"/>
        <v>0</v>
      </c>
      <c r="BK66" s="15">
        <f t="shared" si="22"/>
        <v>0</v>
      </c>
      <c r="BL66" s="15">
        <f t="shared" si="19"/>
        <v>0</v>
      </c>
      <c r="BM66" s="15">
        <f t="shared" si="19"/>
        <v>0</v>
      </c>
      <c r="BN66" s="15">
        <f t="shared" si="19"/>
        <v>0</v>
      </c>
      <c r="BO66" s="15">
        <f t="shared" si="19"/>
        <v>0</v>
      </c>
      <c r="BP66" s="15">
        <f t="shared" si="19"/>
        <v>0</v>
      </c>
      <c r="BQ66" s="15">
        <f t="shared" si="19"/>
        <v>0</v>
      </c>
      <c r="BR66" s="15">
        <f t="shared" si="19"/>
        <v>-179400000</v>
      </c>
      <c r="BT66" s="24"/>
      <c r="BU66" s="4">
        <v>0.01</v>
      </c>
      <c r="BV66" s="6">
        <v>0</v>
      </c>
      <c r="BW66" s="6">
        <f t="shared" si="28"/>
        <v>0.41095890410958902</v>
      </c>
      <c r="BX66" s="6">
        <f t="shared" si="28"/>
        <v>0.49446827726349057</v>
      </c>
      <c r="BY66" s="6">
        <f t="shared" si="28"/>
        <v>0.51576565211146774</v>
      </c>
      <c r="BZ66" s="6">
        <f t="shared" si="28"/>
        <v>0.52149397895713612</v>
      </c>
      <c r="CA66" s="6">
        <f t="shared" si="28"/>
        <v>0.52305649933975962</v>
      </c>
      <c r="CB66" s="6">
        <f t="shared" si="28"/>
        <v>0.52348433598989241</v>
      </c>
      <c r="CC66" s="6">
        <f t="shared" si="28"/>
        <v>0.52360160483419294</v>
      </c>
      <c r="CD66" s="6">
        <f t="shared" si="28"/>
        <v>0.52363375707534621</v>
      </c>
      <c r="CE66" s="6">
        <f t="shared" si="28"/>
        <v>0.52364257312109652</v>
      </c>
      <c r="CF66" s="6">
        <f t="shared" si="28"/>
        <v>0.5236449905056163</v>
      </c>
      <c r="CG66" s="6">
        <f t="shared" si="28"/>
        <v>0.52364565336314417</v>
      </c>
      <c r="CH66" s="6">
        <f t="shared" si="28"/>
        <v>0.52364583512190344</v>
      </c>
      <c r="CI66" s="6">
        <f t="shared" si="28"/>
        <v>0.52364588496106157</v>
      </c>
      <c r="CJ66" s="6">
        <f t="shared" si="28"/>
        <v>0.52364589862720901</v>
      </c>
      <c r="CK66" s="6">
        <f t="shared" si="28"/>
        <v>0.52364590237453534</v>
      </c>
      <c r="CL66" s="6">
        <f t="shared" si="28"/>
        <v>0.52364590340207107</v>
      </c>
      <c r="CM66" s="6">
        <f t="shared" si="28"/>
        <v>0.52364590368382657</v>
      </c>
      <c r="CN66" s="6">
        <f t="shared" si="28"/>
        <v>0.52364590376108522</v>
      </c>
      <c r="CO66" s="6">
        <f t="shared" si="28"/>
        <v>0.52364590378227005</v>
      </c>
      <c r="CP66" s="6">
        <f t="shared" si="28"/>
        <v>0.52364590378807896</v>
      </c>
      <c r="CQ66" s="6">
        <f t="shared" si="28"/>
        <v>0.5236459037896718</v>
      </c>
      <c r="CR66" s="6">
        <f t="shared" si="28"/>
        <v>0.52364590379010867</v>
      </c>
      <c r="CS66" s="6">
        <f t="shared" si="28"/>
        <v>0.52364590379022846</v>
      </c>
      <c r="CT66" s="6">
        <f t="shared" ref="CT66:CY66" si="34">$B$20/($B$21-$B$22*CS66)</f>
        <v>0.52364590379026121</v>
      </c>
      <c r="CU66" s="6">
        <f t="shared" si="34"/>
        <v>0.52364590379027021</v>
      </c>
      <c r="CV66" s="6">
        <f t="shared" si="34"/>
        <v>0.52364590379027265</v>
      </c>
      <c r="CW66" s="6">
        <f t="shared" si="34"/>
        <v>0.52364590379027331</v>
      </c>
      <c r="CX66" s="6">
        <f t="shared" si="34"/>
        <v>0.52364590379027354</v>
      </c>
      <c r="CY66" s="6">
        <f t="shared" si="34"/>
        <v>0.52364590379027354</v>
      </c>
      <c r="CZ66" s="6">
        <f t="shared" si="16"/>
        <v>100</v>
      </c>
      <c r="DB66" s="24"/>
      <c r="DC66" s="4">
        <v>0.01</v>
      </c>
      <c r="DD66" s="6">
        <f t="shared" si="17"/>
        <v>300</v>
      </c>
      <c r="DE66" s="6">
        <f t="shared" si="32"/>
        <v>123.28767123287672</v>
      </c>
      <c r="DF66" s="6">
        <f t="shared" si="32"/>
        <v>60.961842402348154</v>
      </c>
      <c r="DG66" s="6">
        <f t="shared" si="32"/>
        <v>31.442024400563621</v>
      </c>
      <c r="DH66" s="6">
        <f t="shared" si="32"/>
        <v>16.396826411117285</v>
      </c>
      <c r="DI66" s="6">
        <f t="shared" si="32"/>
        <v>8.5764666228807211</v>
      </c>
      <c r="DJ66" s="6">
        <f t="shared" si="32"/>
        <v>4.4896459352181886</v>
      </c>
      <c r="DK66" s="6">
        <f t="shared" si="32"/>
        <v>2.3507858168175546</v>
      </c>
      <c r="DL66" s="6">
        <f t="shared" si="30"/>
        <v>1.2309508093396129</v>
      </c>
      <c r="DM66" s="6">
        <f t="shared" si="30"/>
        <v>0.64457824918809103</v>
      </c>
      <c r="DN66" s="6">
        <f t="shared" si="30"/>
        <v>0.33753017117622475</v>
      </c>
      <c r="DO66" s="6">
        <f t="shared" si="30"/>
        <v>0.17674620701534813</v>
      </c>
      <c r="DP66" s="6">
        <f t="shared" si="30"/>
        <v>9.2552415177180797E-2</v>
      </c>
      <c r="DQ66" s="6">
        <f t="shared" si="30"/>
        <v>4.8464691350738429E-2</v>
      </c>
      <c r="DR66" s="6">
        <f t="shared" si="30"/>
        <v>2.5378336854047744E-2</v>
      </c>
      <c r="DS66" s="6">
        <f t="shared" si="30"/>
        <v>1.3289262102702756E-2</v>
      </c>
      <c r="DT66" s="6">
        <f t="shared" si="30"/>
        <v>6.9588676593166912E-3</v>
      </c>
      <c r="DU66" s="6">
        <f t="shared" si="24"/>
        <v>3.6439825440790436E-3</v>
      </c>
      <c r="DV66" s="6">
        <f t="shared" si="24"/>
        <v>1.9081565325838894E-3</v>
      </c>
      <c r="DW66" s="6">
        <f t="shared" si="24"/>
        <v>9.9919835206293325E-4</v>
      </c>
      <c r="DX66" s="6">
        <f t="shared" si="24"/>
        <v>5.2322612412955387E-4</v>
      </c>
      <c r="DY66" s="6">
        <f t="shared" si="24"/>
        <v>2.7398521665618727E-4</v>
      </c>
      <c r="DZ66" s="6">
        <f t="shared" si="24"/>
        <v>1.434712364010579E-4</v>
      </c>
      <c r="EA66" s="6">
        <f t="shared" si="24"/>
        <v>7.5128125253133484E-5</v>
      </c>
      <c r="EB66" s="6">
        <f t="shared" si="24"/>
        <v>3.9340535048245028E-5</v>
      </c>
      <c r="EC66" s="6">
        <f t="shared" si="20"/>
        <v>2.0600510030931069E-5</v>
      </c>
      <c r="ED66" s="6">
        <f t="shared" si="20"/>
        <v>1.0787372693687478E-5</v>
      </c>
      <c r="EE66" s="6">
        <f t="shared" si="20"/>
        <v>5.6487635237084939E-6</v>
      </c>
      <c r="EF66" s="6">
        <f t="shared" si="20"/>
        <v>2.9579518806698644E-6</v>
      </c>
      <c r="EG66" s="6">
        <f t="shared" si="20"/>
        <v>1.5489193859215107E-6</v>
      </c>
      <c r="EH66" s="6">
        <f t="shared" si="20"/>
        <v>22.691323308663819</v>
      </c>
    </row>
    <row r="67" spans="5:138">
      <c r="E67" s="26"/>
      <c r="F67" s="4">
        <v>6.6666666666666671E-3</v>
      </c>
      <c r="G67">
        <f t="shared" si="10"/>
        <v>300</v>
      </c>
      <c r="H67">
        <f t="shared" si="33"/>
        <v>157.09377165338856</v>
      </c>
      <c r="I67">
        <f t="shared" si="33"/>
        <v>82.261511023245447</v>
      </c>
      <c r="J67">
        <f t="shared" si="33"/>
        <v>43.075905169842066</v>
      </c>
      <c r="K67">
        <f t="shared" si="33"/>
        <v>22.556524890036922</v>
      </c>
      <c r="L67">
        <f t="shared" si="33"/>
        <v>11.811638729247784</v>
      </c>
      <c r="M67">
        <f t="shared" si="33"/>
        <v>6.1851293511326899</v>
      </c>
      <c r="N67">
        <f t="shared" si="31"/>
        <v>3.2388426918417639</v>
      </c>
      <c r="O67">
        <f t="shared" si="31"/>
        <v>1.6960545323489358</v>
      </c>
      <c r="P67">
        <f t="shared" si="31"/>
        <v>0.8882233368739797</v>
      </c>
      <c r="Q67">
        <f t="shared" si="31"/>
        <v>0.46528892071108163</v>
      </c>
      <c r="R67">
        <f t="shared" si="31"/>
        <v>0.24397970352298565</v>
      </c>
      <c r="S67">
        <f t="shared" si="31"/>
        <v>0.12839502452818344</v>
      </c>
      <c r="T67">
        <f t="shared" si="31"/>
        <v>6.8448189495594031E-2</v>
      </c>
      <c r="U67">
        <f t="shared" si="31"/>
        <v>3.8162236577762049E-2</v>
      </c>
      <c r="V67">
        <f t="shared" si="31"/>
        <v>2.4413252843626963E-2</v>
      </c>
      <c r="W67">
        <f t="shared" si="31"/>
        <v>2.1243345341730224E-2</v>
      </c>
      <c r="X67">
        <f t="shared" si="25"/>
        <v>2.7278887487916587E-2</v>
      </c>
      <c r="Y67">
        <f t="shared" si="25"/>
        <v>4.5135280878866799E-2</v>
      </c>
      <c r="Z67">
        <f t="shared" si="25"/>
        <v>8.2550295983992647E-2</v>
      </c>
      <c r="AA67">
        <f t="shared" si="25"/>
        <v>0.1557371060155153</v>
      </c>
      <c r="AB67">
        <f t="shared" si="21"/>
        <v>0.29640999532042794</v>
      </c>
      <c r="AC67">
        <f t="shared" si="21"/>
        <v>0.56552721593085942</v>
      </c>
      <c r="AD67">
        <f t="shared" si="21"/>
        <v>1.0797062301113298</v>
      </c>
      <c r="AE67">
        <f t="shared" si="21"/>
        <v>2.0617579440067098</v>
      </c>
      <c r="AF67">
        <f t="shared" si="21"/>
        <v>3.937238100304997</v>
      </c>
      <c r="AG67">
        <f t="shared" si="21"/>
        <v>7.5188547667354504</v>
      </c>
      <c r="AH67">
        <f t="shared" si="21"/>
        <v>14.358641832084601</v>
      </c>
      <c r="AI67">
        <f t="shared" si="21"/>
        <v>27.420507024670414</v>
      </c>
      <c r="AJ67">
        <f t="shared" si="21"/>
        <v>52.364591927946741</v>
      </c>
      <c r="AK67">
        <f t="shared" si="13"/>
        <v>100</v>
      </c>
      <c r="AL67" s="24"/>
      <c r="AM67" s="4">
        <v>6.6666666666666671E-3</v>
      </c>
      <c r="AN67" s="15">
        <f t="shared" si="29"/>
        <v>-538200000</v>
      </c>
      <c r="AO67" s="15">
        <f t="shared" si="29"/>
        <v>0</v>
      </c>
      <c r="AP67" s="15">
        <f t="shared" si="29"/>
        <v>0</v>
      </c>
      <c r="AQ67" s="15">
        <f t="shared" si="29"/>
        <v>0</v>
      </c>
      <c r="AR67" s="15">
        <f t="shared" si="29"/>
        <v>0</v>
      </c>
      <c r="AS67" s="15">
        <f t="shared" si="29"/>
        <v>0</v>
      </c>
      <c r="AT67" s="15">
        <f t="shared" si="29"/>
        <v>0</v>
      </c>
      <c r="AU67" s="15">
        <f t="shared" si="29"/>
        <v>0</v>
      </c>
      <c r="AV67" s="15">
        <f t="shared" si="29"/>
        <v>0</v>
      </c>
      <c r="AW67" s="15">
        <f t="shared" si="29"/>
        <v>0</v>
      </c>
      <c r="AX67" s="15">
        <f t="shared" si="29"/>
        <v>0</v>
      </c>
      <c r="AY67" s="15">
        <f t="shared" si="29"/>
        <v>0</v>
      </c>
      <c r="AZ67" s="15">
        <f t="shared" si="29"/>
        <v>0</v>
      </c>
      <c r="BA67" s="15">
        <f t="shared" si="29"/>
        <v>0</v>
      </c>
      <c r="BB67" s="15">
        <f t="shared" si="29"/>
        <v>0</v>
      </c>
      <c r="BC67" s="15">
        <f t="shared" si="29"/>
        <v>0</v>
      </c>
      <c r="BD67" s="15">
        <f t="shared" si="22"/>
        <v>0</v>
      </c>
      <c r="BE67" s="15">
        <f t="shared" si="22"/>
        <v>0</v>
      </c>
      <c r="BF67" s="15">
        <f t="shared" si="22"/>
        <v>0</v>
      </c>
      <c r="BG67" s="15">
        <f t="shared" si="22"/>
        <v>0</v>
      </c>
      <c r="BH67" s="15">
        <f t="shared" si="22"/>
        <v>0</v>
      </c>
      <c r="BI67" s="15">
        <f t="shared" si="22"/>
        <v>0</v>
      </c>
      <c r="BJ67" s="15">
        <f t="shared" si="22"/>
        <v>0</v>
      </c>
      <c r="BK67" s="15">
        <f t="shared" si="22"/>
        <v>0</v>
      </c>
      <c r="BL67" s="15">
        <f t="shared" si="19"/>
        <v>0</v>
      </c>
      <c r="BM67" s="15">
        <f t="shared" si="19"/>
        <v>0</v>
      </c>
      <c r="BN67" s="15">
        <f t="shared" si="19"/>
        <v>0</v>
      </c>
      <c r="BO67" s="15">
        <f t="shared" si="19"/>
        <v>0</v>
      </c>
      <c r="BP67" s="15">
        <f t="shared" si="19"/>
        <v>0</v>
      </c>
      <c r="BQ67" s="15">
        <f t="shared" si="19"/>
        <v>0</v>
      </c>
      <c r="BR67" s="15">
        <f t="shared" si="19"/>
        <v>-179400000</v>
      </c>
      <c r="BT67" s="24"/>
      <c r="BU67" s="4">
        <v>6.6666666666666671E-3</v>
      </c>
      <c r="BV67" s="6">
        <v>0</v>
      </c>
      <c r="BW67" s="6">
        <f t="shared" ref="BW67:CY69" si="35">$B$20/($B$21-$B$22*BV67)</f>
        <v>0.41095890410958902</v>
      </c>
      <c r="BX67" s="6">
        <f t="shared" si="35"/>
        <v>0.49446827726349057</v>
      </c>
      <c r="BY67" s="6">
        <f t="shared" si="35"/>
        <v>0.51576565211146774</v>
      </c>
      <c r="BZ67" s="6">
        <f t="shared" si="35"/>
        <v>0.52149397895713612</v>
      </c>
      <c r="CA67" s="6">
        <f t="shared" si="35"/>
        <v>0.52305649933975962</v>
      </c>
      <c r="CB67" s="6">
        <f t="shared" si="35"/>
        <v>0.52348433598989241</v>
      </c>
      <c r="CC67" s="6">
        <f t="shared" si="35"/>
        <v>0.52360160483419294</v>
      </c>
      <c r="CD67" s="6">
        <f t="shared" si="35"/>
        <v>0.52363375707534621</v>
      </c>
      <c r="CE67" s="6">
        <f t="shared" si="35"/>
        <v>0.52364257312109652</v>
      </c>
      <c r="CF67" s="6">
        <f t="shared" si="35"/>
        <v>0.5236449905056163</v>
      </c>
      <c r="CG67" s="6">
        <f t="shared" si="35"/>
        <v>0.52364565336314417</v>
      </c>
      <c r="CH67" s="6">
        <f t="shared" si="35"/>
        <v>0.52364583512190344</v>
      </c>
      <c r="CI67" s="6">
        <f t="shared" si="35"/>
        <v>0.52364588496106157</v>
      </c>
      <c r="CJ67" s="6">
        <f t="shared" si="35"/>
        <v>0.52364589862720901</v>
      </c>
      <c r="CK67" s="6">
        <f t="shared" si="35"/>
        <v>0.52364590237453534</v>
      </c>
      <c r="CL67" s="6">
        <f t="shared" si="35"/>
        <v>0.52364590340207107</v>
      </c>
      <c r="CM67" s="6">
        <f t="shared" si="35"/>
        <v>0.52364590368382657</v>
      </c>
      <c r="CN67" s="6">
        <f t="shared" si="35"/>
        <v>0.52364590376108522</v>
      </c>
      <c r="CO67" s="6">
        <f t="shared" si="35"/>
        <v>0.52364590378227005</v>
      </c>
      <c r="CP67" s="6">
        <f t="shared" si="35"/>
        <v>0.52364590378807896</v>
      </c>
      <c r="CQ67" s="6">
        <f t="shared" si="35"/>
        <v>0.5236459037896718</v>
      </c>
      <c r="CR67" s="6">
        <f t="shared" si="35"/>
        <v>0.52364590379010867</v>
      </c>
      <c r="CS67" s="6">
        <f t="shared" si="35"/>
        <v>0.52364590379022846</v>
      </c>
      <c r="CT67" s="6">
        <f t="shared" si="35"/>
        <v>0.52364590379026121</v>
      </c>
      <c r="CU67" s="6">
        <f t="shared" si="35"/>
        <v>0.52364590379027021</v>
      </c>
      <c r="CV67" s="6">
        <f t="shared" si="35"/>
        <v>0.52364590379027265</v>
      </c>
      <c r="CW67" s="6">
        <f t="shared" si="35"/>
        <v>0.52364590379027331</v>
      </c>
      <c r="CX67" s="6">
        <f t="shared" si="35"/>
        <v>0.52364590379027354</v>
      </c>
      <c r="CY67" s="6">
        <f t="shared" si="35"/>
        <v>0.52364590379027354</v>
      </c>
      <c r="CZ67" s="6">
        <f t="shared" si="16"/>
        <v>100</v>
      </c>
      <c r="DB67" s="24"/>
      <c r="DC67" s="4">
        <v>6.6666666666666671E-3</v>
      </c>
      <c r="DD67" s="6">
        <f t="shared" si="17"/>
        <v>300</v>
      </c>
      <c r="DE67" s="6">
        <f t="shared" si="32"/>
        <v>123.28767123287672</v>
      </c>
      <c r="DF67" s="6">
        <f t="shared" si="32"/>
        <v>60.961842402348154</v>
      </c>
      <c r="DG67" s="6">
        <f t="shared" si="32"/>
        <v>31.442024400563621</v>
      </c>
      <c r="DH67" s="6">
        <f t="shared" si="32"/>
        <v>16.396826411117285</v>
      </c>
      <c r="DI67" s="6">
        <f t="shared" si="32"/>
        <v>8.5764666228807211</v>
      </c>
      <c r="DJ67" s="6">
        <f t="shared" si="32"/>
        <v>4.4896459352181886</v>
      </c>
      <c r="DK67" s="6">
        <f t="shared" si="32"/>
        <v>2.3507858168175546</v>
      </c>
      <c r="DL67" s="6">
        <f t="shared" si="30"/>
        <v>1.2309508093396129</v>
      </c>
      <c r="DM67" s="6">
        <f t="shared" si="30"/>
        <v>0.64457824918809103</v>
      </c>
      <c r="DN67" s="6">
        <f t="shared" si="30"/>
        <v>0.33753017117622475</v>
      </c>
      <c r="DO67" s="6">
        <f t="shared" si="30"/>
        <v>0.17674620701534813</v>
      </c>
      <c r="DP67" s="6">
        <f t="shared" si="30"/>
        <v>9.2552415177180797E-2</v>
      </c>
      <c r="DQ67" s="6">
        <f t="shared" si="30"/>
        <v>4.8464691350738429E-2</v>
      </c>
      <c r="DR67" s="6">
        <f t="shared" si="30"/>
        <v>2.5378336854047744E-2</v>
      </c>
      <c r="DS67" s="6">
        <f t="shared" si="30"/>
        <v>1.3289262102702756E-2</v>
      </c>
      <c r="DT67" s="6">
        <f t="shared" si="30"/>
        <v>6.9588676593166912E-3</v>
      </c>
      <c r="DU67" s="6">
        <f t="shared" si="24"/>
        <v>3.6439825440790436E-3</v>
      </c>
      <c r="DV67" s="6">
        <f t="shared" si="24"/>
        <v>1.9081565325838894E-3</v>
      </c>
      <c r="DW67" s="6">
        <f t="shared" si="24"/>
        <v>9.9919835206293325E-4</v>
      </c>
      <c r="DX67" s="6">
        <f t="shared" si="24"/>
        <v>5.2322612412955387E-4</v>
      </c>
      <c r="DY67" s="6">
        <f t="shared" si="24"/>
        <v>2.7398521665618727E-4</v>
      </c>
      <c r="DZ67" s="6">
        <f t="shared" si="24"/>
        <v>1.434712364010579E-4</v>
      </c>
      <c r="EA67" s="6">
        <f t="shared" si="24"/>
        <v>7.5128125253133484E-5</v>
      </c>
      <c r="EB67" s="6">
        <f t="shared" si="24"/>
        <v>3.9340535048245028E-5</v>
      </c>
      <c r="EC67" s="6">
        <f t="shared" si="20"/>
        <v>2.0600510030931069E-5</v>
      </c>
      <c r="ED67" s="6">
        <f t="shared" si="20"/>
        <v>1.0787372693687478E-5</v>
      </c>
      <c r="EE67" s="6">
        <f t="shared" si="20"/>
        <v>5.6487635237084939E-6</v>
      </c>
      <c r="EF67" s="6">
        <f t="shared" si="20"/>
        <v>2.9579518806698644E-6</v>
      </c>
      <c r="EG67" s="6">
        <f t="shared" si="20"/>
        <v>1.5489193859215107E-6</v>
      </c>
      <c r="EH67" s="6">
        <f t="shared" si="20"/>
        <v>22.691323308663819</v>
      </c>
    </row>
    <row r="68" spans="5:138">
      <c r="E68" s="26"/>
      <c r="F68" s="4">
        <v>3.3333333333333335E-3</v>
      </c>
      <c r="G68">
        <f t="shared" si="10"/>
        <v>300</v>
      </c>
      <c r="H68">
        <f t="shared" si="33"/>
        <v>157.09377165338856</v>
      </c>
      <c r="I68">
        <f t="shared" si="33"/>
        <v>82.261511023245447</v>
      </c>
      <c r="J68">
        <f t="shared" si="33"/>
        <v>43.075905169842066</v>
      </c>
      <c r="K68">
        <f t="shared" si="33"/>
        <v>22.556524890036922</v>
      </c>
      <c r="L68">
        <f t="shared" si="33"/>
        <v>11.811638729247784</v>
      </c>
      <c r="M68">
        <f t="shared" si="33"/>
        <v>6.1851293511326899</v>
      </c>
      <c r="N68">
        <f t="shared" si="31"/>
        <v>3.2388426918417639</v>
      </c>
      <c r="O68">
        <f t="shared" si="31"/>
        <v>1.6960545323489358</v>
      </c>
      <c r="P68">
        <f t="shared" si="31"/>
        <v>0.8882233368739797</v>
      </c>
      <c r="Q68">
        <f t="shared" si="31"/>
        <v>0.46528892071108163</v>
      </c>
      <c r="R68">
        <f t="shared" si="31"/>
        <v>0.24397970352298565</v>
      </c>
      <c r="S68">
        <f t="shared" si="31"/>
        <v>0.12839502452818344</v>
      </c>
      <c r="T68">
        <f t="shared" si="31"/>
        <v>6.8448189495594031E-2</v>
      </c>
      <c r="U68">
        <f t="shared" si="31"/>
        <v>3.8162236577762049E-2</v>
      </c>
      <c r="V68">
        <f t="shared" si="31"/>
        <v>2.4413252843626963E-2</v>
      </c>
      <c r="W68">
        <f t="shared" si="31"/>
        <v>2.1243345341730224E-2</v>
      </c>
      <c r="X68">
        <f t="shared" si="25"/>
        <v>2.7278887487916587E-2</v>
      </c>
      <c r="Y68">
        <f t="shared" si="25"/>
        <v>4.5135280878866799E-2</v>
      </c>
      <c r="Z68">
        <f t="shared" si="25"/>
        <v>8.2550295983992647E-2</v>
      </c>
      <c r="AA68">
        <f t="shared" si="25"/>
        <v>0.1557371060155153</v>
      </c>
      <c r="AB68">
        <f t="shared" si="21"/>
        <v>0.29640999532042794</v>
      </c>
      <c r="AC68">
        <f t="shared" si="21"/>
        <v>0.56552721593085942</v>
      </c>
      <c r="AD68">
        <f t="shared" si="21"/>
        <v>1.0797062301113298</v>
      </c>
      <c r="AE68">
        <f t="shared" si="21"/>
        <v>2.0617579440067098</v>
      </c>
      <c r="AF68">
        <f t="shared" si="21"/>
        <v>3.937238100304997</v>
      </c>
      <c r="AG68">
        <f t="shared" si="21"/>
        <v>7.5188547667354504</v>
      </c>
      <c r="AH68">
        <f t="shared" si="21"/>
        <v>14.358641832084601</v>
      </c>
      <c r="AI68">
        <f t="shared" si="21"/>
        <v>27.420507024670414</v>
      </c>
      <c r="AJ68">
        <f t="shared" si="21"/>
        <v>52.364591927946741</v>
      </c>
      <c r="AK68">
        <f t="shared" si="13"/>
        <v>100</v>
      </c>
      <c r="AL68" s="24"/>
      <c r="AM68" s="4">
        <v>3.3333333333333335E-3</v>
      </c>
      <c r="AN68" s="15">
        <f t="shared" si="29"/>
        <v>-538200000</v>
      </c>
      <c r="AO68" s="15">
        <f t="shared" si="29"/>
        <v>0</v>
      </c>
      <c r="AP68" s="15">
        <f t="shared" si="29"/>
        <v>0</v>
      </c>
      <c r="AQ68" s="15">
        <f t="shared" si="29"/>
        <v>0</v>
      </c>
      <c r="AR68" s="15">
        <f t="shared" si="29"/>
        <v>0</v>
      </c>
      <c r="AS68" s="15">
        <f t="shared" si="29"/>
        <v>0</v>
      </c>
      <c r="AT68" s="15">
        <f t="shared" si="29"/>
        <v>0</v>
      </c>
      <c r="AU68" s="15">
        <f t="shared" si="29"/>
        <v>0</v>
      </c>
      <c r="AV68" s="15">
        <f t="shared" si="29"/>
        <v>0</v>
      </c>
      <c r="AW68" s="15">
        <f t="shared" si="29"/>
        <v>0</v>
      </c>
      <c r="AX68" s="15">
        <f t="shared" si="29"/>
        <v>0</v>
      </c>
      <c r="AY68" s="15">
        <f t="shared" si="29"/>
        <v>0</v>
      </c>
      <c r="AZ68" s="15">
        <f t="shared" si="29"/>
        <v>0</v>
      </c>
      <c r="BA68" s="15">
        <f t="shared" si="29"/>
        <v>0</v>
      </c>
      <c r="BB68" s="15">
        <f t="shared" si="29"/>
        <v>0</v>
      </c>
      <c r="BC68" s="15">
        <f t="shared" si="29"/>
        <v>0</v>
      </c>
      <c r="BD68" s="15">
        <f t="shared" si="22"/>
        <v>0</v>
      </c>
      <c r="BE68" s="15">
        <f t="shared" si="22"/>
        <v>0</v>
      </c>
      <c r="BF68" s="15">
        <f t="shared" si="22"/>
        <v>0</v>
      </c>
      <c r="BG68" s="15">
        <f t="shared" si="22"/>
        <v>0</v>
      </c>
      <c r="BH68" s="15">
        <f t="shared" si="22"/>
        <v>0</v>
      </c>
      <c r="BI68" s="15">
        <f t="shared" si="22"/>
        <v>0</v>
      </c>
      <c r="BJ68" s="15">
        <f t="shared" si="22"/>
        <v>0</v>
      </c>
      <c r="BK68" s="15">
        <f t="shared" si="22"/>
        <v>0</v>
      </c>
      <c r="BL68" s="15">
        <f t="shared" si="19"/>
        <v>0</v>
      </c>
      <c r="BM68" s="15">
        <f t="shared" si="19"/>
        <v>0</v>
      </c>
      <c r="BN68" s="15">
        <f t="shared" si="19"/>
        <v>0</v>
      </c>
      <c r="BO68" s="15">
        <f t="shared" si="19"/>
        <v>0</v>
      </c>
      <c r="BP68" s="15">
        <f t="shared" si="19"/>
        <v>0</v>
      </c>
      <c r="BQ68" s="15">
        <f t="shared" si="19"/>
        <v>0</v>
      </c>
      <c r="BR68" s="15">
        <f t="shared" si="19"/>
        <v>-179400000</v>
      </c>
      <c r="BT68" s="24"/>
      <c r="BU68" s="4">
        <v>3.3333333333333335E-3</v>
      </c>
      <c r="BV68" s="6">
        <v>0</v>
      </c>
      <c r="BW68" s="6">
        <f t="shared" si="35"/>
        <v>0.41095890410958902</v>
      </c>
      <c r="BX68" s="6">
        <f t="shared" si="35"/>
        <v>0.49446827726349057</v>
      </c>
      <c r="BY68" s="6">
        <f t="shared" si="35"/>
        <v>0.51576565211146774</v>
      </c>
      <c r="BZ68" s="6">
        <f t="shared" si="35"/>
        <v>0.52149397895713612</v>
      </c>
      <c r="CA68" s="6">
        <f t="shared" si="35"/>
        <v>0.52305649933975962</v>
      </c>
      <c r="CB68" s="6">
        <f t="shared" si="35"/>
        <v>0.52348433598989241</v>
      </c>
      <c r="CC68" s="6">
        <f t="shared" si="35"/>
        <v>0.52360160483419294</v>
      </c>
      <c r="CD68" s="6">
        <f t="shared" si="35"/>
        <v>0.52363375707534621</v>
      </c>
      <c r="CE68" s="6">
        <f t="shared" si="35"/>
        <v>0.52364257312109652</v>
      </c>
      <c r="CF68" s="6">
        <f t="shared" si="35"/>
        <v>0.5236449905056163</v>
      </c>
      <c r="CG68" s="6">
        <f t="shared" si="35"/>
        <v>0.52364565336314417</v>
      </c>
      <c r="CH68" s="6">
        <f t="shared" si="35"/>
        <v>0.52364583512190344</v>
      </c>
      <c r="CI68" s="6">
        <f t="shared" si="35"/>
        <v>0.52364588496106157</v>
      </c>
      <c r="CJ68" s="6">
        <f t="shared" si="35"/>
        <v>0.52364589862720901</v>
      </c>
      <c r="CK68" s="6">
        <f t="shared" si="35"/>
        <v>0.52364590237453534</v>
      </c>
      <c r="CL68" s="6">
        <f t="shared" si="35"/>
        <v>0.52364590340207107</v>
      </c>
      <c r="CM68" s="6">
        <f t="shared" si="35"/>
        <v>0.52364590368382657</v>
      </c>
      <c r="CN68" s="6">
        <f t="shared" si="35"/>
        <v>0.52364590376108522</v>
      </c>
      <c r="CO68" s="6">
        <f t="shared" si="35"/>
        <v>0.52364590378227005</v>
      </c>
      <c r="CP68" s="6">
        <f t="shared" si="35"/>
        <v>0.52364590378807896</v>
      </c>
      <c r="CQ68" s="6">
        <f t="shared" si="35"/>
        <v>0.5236459037896718</v>
      </c>
      <c r="CR68" s="6">
        <f t="shared" si="35"/>
        <v>0.52364590379010867</v>
      </c>
      <c r="CS68" s="6">
        <f t="shared" si="35"/>
        <v>0.52364590379022846</v>
      </c>
      <c r="CT68" s="6">
        <f t="shared" si="35"/>
        <v>0.52364590379026121</v>
      </c>
      <c r="CU68" s="6">
        <f t="shared" si="35"/>
        <v>0.52364590379027021</v>
      </c>
      <c r="CV68" s="6">
        <f t="shared" si="35"/>
        <v>0.52364590379027265</v>
      </c>
      <c r="CW68" s="6">
        <f t="shared" si="35"/>
        <v>0.52364590379027331</v>
      </c>
      <c r="CX68" s="6">
        <f t="shared" si="35"/>
        <v>0.52364590379027354</v>
      </c>
      <c r="CY68" s="6">
        <f t="shared" si="35"/>
        <v>0.52364590379027354</v>
      </c>
      <c r="CZ68" s="6">
        <f t="shared" si="16"/>
        <v>100</v>
      </c>
      <c r="DB68" s="24"/>
      <c r="DC68" s="4">
        <v>3.3333333333333335E-3</v>
      </c>
      <c r="DD68" s="6">
        <f t="shared" si="17"/>
        <v>300</v>
      </c>
      <c r="DE68" s="6">
        <f t="shared" si="32"/>
        <v>123.28767123287672</v>
      </c>
      <c r="DF68" s="6">
        <f t="shared" si="32"/>
        <v>60.961842402348154</v>
      </c>
      <c r="DG68" s="6">
        <f t="shared" si="32"/>
        <v>31.442024400563621</v>
      </c>
      <c r="DH68" s="6">
        <f t="shared" si="32"/>
        <v>16.396826411117285</v>
      </c>
      <c r="DI68" s="6">
        <f t="shared" si="32"/>
        <v>8.5764666228807211</v>
      </c>
      <c r="DJ68" s="6">
        <f t="shared" si="32"/>
        <v>4.4896459352181886</v>
      </c>
      <c r="DK68" s="6">
        <f t="shared" si="32"/>
        <v>2.3507858168175546</v>
      </c>
      <c r="DL68" s="6">
        <f t="shared" si="30"/>
        <v>1.2309508093396129</v>
      </c>
      <c r="DM68" s="6">
        <f t="shared" si="30"/>
        <v>0.64457824918809103</v>
      </c>
      <c r="DN68" s="6">
        <f t="shared" si="30"/>
        <v>0.33753017117622475</v>
      </c>
      <c r="DO68" s="6">
        <f t="shared" si="30"/>
        <v>0.17674620701534813</v>
      </c>
      <c r="DP68" s="6">
        <f t="shared" si="30"/>
        <v>9.2552415177180797E-2</v>
      </c>
      <c r="DQ68" s="6">
        <f t="shared" si="30"/>
        <v>4.8464691350738429E-2</v>
      </c>
      <c r="DR68" s="6">
        <f t="shared" si="30"/>
        <v>2.5378336854047744E-2</v>
      </c>
      <c r="DS68" s="6">
        <f t="shared" si="30"/>
        <v>1.3289262102702756E-2</v>
      </c>
      <c r="DT68" s="6">
        <f t="shared" si="30"/>
        <v>6.9588676593166912E-3</v>
      </c>
      <c r="DU68" s="6">
        <f t="shared" si="24"/>
        <v>3.6439825440790436E-3</v>
      </c>
      <c r="DV68" s="6">
        <f t="shared" si="24"/>
        <v>1.9081565325838894E-3</v>
      </c>
      <c r="DW68" s="6">
        <f t="shared" si="24"/>
        <v>9.9919835206293325E-4</v>
      </c>
      <c r="DX68" s="6">
        <f t="shared" si="24"/>
        <v>5.2322612412955387E-4</v>
      </c>
      <c r="DY68" s="6">
        <f t="shared" si="24"/>
        <v>2.7398521665618727E-4</v>
      </c>
      <c r="DZ68" s="6">
        <f t="shared" si="24"/>
        <v>1.434712364010579E-4</v>
      </c>
      <c r="EA68" s="6">
        <f t="shared" si="24"/>
        <v>7.5128125253133484E-5</v>
      </c>
      <c r="EB68" s="6">
        <f t="shared" si="24"/>
        <v>3.9340535048245028E-5</v>
      </c>
      <c r="EC68" s="6">
        <f t="shared" si="20"/>
        <v>2.0600510030931069E-5</v>
      </c>
      <c r="ED68" s="6">
        <f t="shared" si="20"/>
        <v>1.0787372693687478E-5</v>
      </c>
      <c r="EE68" s="6">
        <f t="shared" si="20"/>
        <v>5.6487635237084939E-6</v>
      </c>
      <c r="EF68" s="6">
        <f t="shared" si="20"/>
        <v>2.9579518806698644E-6</v>
      </c>
      <c r="EG68" s="6">
        <f t="shared" si="20"/>
        <v>1.5489193859215107E-6</v>
      </c>
      <c r="EH68" s="6">
        <f t="shared" si="20"/>
        <v>22.691323308663819</v>
      </c>
    </row>
    <row r="69" spans="5:138">
      <c r="E69" s="26"/>
      <c r="F69" s="4">
        <v>0</v>
      </c>
      <c r="G69">
        <f t="shared" si="10"/>
        <v>300</v>
      </c>
      <c r="H69">
        <f t="shared" si="33"/>
        <v>157.09377165338856</v>
      </c>
      <c r="I69">
        <f t="shared" si="33"/>
        <v>82.261511023245447</v>
      </c>
      <c r="J69">
        <f t="shared" si="33"/>
        <v>43.075905169842066</v>
      </c>
      <c r="K69">
        <f t="shared" si="33"/>
        <v>22.556524890036922</v>
      </c>
      <c r="L69">
        <f t="shared" si="33"/>
        <v>11.811638729247784</v>
      </c>
      <c r="M69">
        <f t="shared" si="33"/>
        <v>6.1851293511326899</v>
      </c>
      <c r="N69">
        <f t="shared" si="31"/>
        <v>3.2388426918417639</v>
      </c>
      <c r="O69">
        <f t="shared" si="31"/>
        <v>1.6960545323489358</v>
      </c>
      <c r="P69">
        <f t="shared" si="31"/>
        <v>0.8882233368739797</v>
      </c>
      <c r="Q69">
        <f t="shared" si="31"/>
        <v>0.46528892071108163</v>
      </c>
      <c r="R69">
        <f t="shared" si="31"/>
        <v>0.24397970352298565</v>
      </c>
      <c r="S69">
        <f t="shared" si="31"/>
        <v>0.12839502452818344</v>
      </c>
      <c r="T69">
        <f t="shared" si="31"/>
        <v>6.8448189495594031E-2</v>
      </c>
      <c r="U69">
        <f t="shared" si="31"/>
        <v>3.8162236577762049E-2</v>
      </c>
      <c r="V69">
        <f t="shared" si="31"/>
        <v>2.4413252843626963E-2</v>
      </c>
      <c r="W69">
        <f t="shared" si="31"/>
        <v>2.1243345341730224E-2</v>
      </c>
      <c r="X69">
        <f t="shared" si="25"/>
        <v>2.7278887487916587E-2</v>
      </c>
      <c r="Y69">
        <f t="shared" si="25"/>
        <v>4.5135280878866799E-2</v>
      </c>
      <c r="Z69">
        <f t="shared" si="25"/>
        <v>8.2550295983992647E-2</v>
      </c>
      <c r="AA69">
        <f t="shared" si="25"/>
        <v>0.1557371060155153</v>
      </c>
      <c r="AB69">
        <f t="shared" si="21"/>
        <v>0.29640999532042794</v>
      </c>
      <c r="AC69">
        <f t="shared" si="21"/>
        <v>0.56552721593085942</v>
      </c>
      <c r="AD69">
        <f t="shared" si="21"/>
        <v>1.0797062301113298</v>
      </c>
      <c r="AE69">
        <f t="shared" si="21"/>
        <v>2.0617579440067098</v>
      </c>
      <c r="AF69">
        <f t="shared" si="21"/>
        <v>3.937238100304997</v>
      </c>
      <c r="AG69">
        <f t="shared" si="21"/>
        <v>7.5188547667354504</v>
      </c>
      <c r="AH69">
        <f t="shared" si="21"/>
        <v>14.358641832084601</v>
      </c>
      <c r="AI69">
        <f t="shared" si="21"/>
        <v>27.420507024670414</v>
      </c>
      <c r="AJ69">
        <f t="shared" si="21"/>
        <v>52.364591927946741</v>
      </c>
      <c r="AK69">
        <f t="shared" si="13"/>
        <v>100</v>
      </c>
      <c r="AL69" s="24"/>
      <c r="AM69" s="4">
        <v>0</v>
      </c>
      <c r="AN69" s="15">
        <f t="shared" si="29"/>
        <v>-538200000</v>
      </c>
      <c r="AO69" s="15">
        <f t="shared" si="29"/>
        <v>0</v>
      </c>
      <c r="AP69" s="15">
        <f t="shared" si="29"/>
        <v>0</v>
      </c>
      <c r="AQ69" s="15">
        <f t="shared" si="29"/>
        <v>0</v>
      </c>
      <c r="AR69" s="15">
        <f t="shared" si="29"/>
        <v>0</v>
      </c>
      <c r="AS69" s="15">
        <f t="shared" si="29"/>
        <v>0</v>
      </c>
      <c r="AT69" s="15">
        <f t="shared" si="29"/>
        <v>0</v>
      </c>
      <c r="AU69" s="15">
        <f t="shared" si="29"/>
        <v>0</v>
      </c>
      <c r="AV69" s="15">
        <f t="shared" si="29"/>
        <v>0</v>
      </c>
      <c r="AW69" s="15">
        <f t="shared" si="29"/>
        <v>0</v>
      </c>
      <c r="AX69" s="15">
        <f t="shared" si="29"/>
        <v>0</v>
      </c>
      <c r="AY69" s="15">
        <f t="shared" si="29"/>
        <v>0</v>
      </c>
      <c r="AZ69" s="15">
        <f t="shared" si="29"/>
        <v>0</v>
      </c>
      <c r="BA69" s="15">
        <f t="shared" si="29"/>
        <v>0</v>
      </c>
      <c r="BB69" s="15">
        <f t="shared" si="29"/>
        <v>0</v>
      </c>
      <c r="BC69" s="15">
        <f t="shared" si="29"/>
        <v>0</v>
      </c>
      <c r="BD69" s="15">
        <f t="shared" si="22"/>
        <v>0</v>
      </c>
      <c r="BE69" s="15">
        <f t="shared" si="22"/>
        <v>0</v>
      </c>
      <c r="BF69" s="15">
        <f t="shared" si="22"/>
        <v>0</v>
      </c>
      <c r="BG69" s="15">
        <f t="shared" si="22"/>
        <v>0</v>
      </c>
      <c r="BH69" s="15">
        <f t="shared" si="22"/>
        <v>0</v>
      </c>
      <c r="BI69" s="15">
        <f t="shared" si="22"/>
        <v>0</v>
      </c>
      <c r="BJ69" s="15">
        <f t="shared" si="22"/>
        <v>0</v>
      </c>
      <c r="BK69" s="15">
        <f t="shared" si="22"/>
        <v>0</v>
      </c>
      <c r="BL69" s="15">
        <f t="shared" si="19"/>
        <v>0</v>
      </c>
      <c r="BM69" s="15">
        <f t="shared" si="19"/>
        <v>0</v>
      </c>
      <c r="BN69" s="15">
        <f t="shared" si="19"/>
        <v>0</v>
      </c>
      <c r="BO69" s="15">
        <f t="shared" si="19"/>
        <v>0</v>
      </c>
      <c r="BP69" s="15">
        <f t="shared" si="19"/>
        <v>0</v>
      </c>
      <c r="BQ69" s="15">
        <f t="shared" si="19"/>
        <v>0</v>
      </c>
      <c r="BR69" s="15">
        <f t="shared" si="19"/>
        <v>-179400000</v>
      </c>
      <c r="BT69" s="24"/>
      <c r="BU69" s="4">
        <v>0</v>
      </c>
      <c r="BV69" s="6">
        <v>0</v>
      </c>
      <c r="BW69" s="6">
        <f t="shared" si="35"/>
        <v>0.41095890410958902</v>
      </c>
      <c r="BX69" s="6">
        <f t="shared" si="35"/>
        <v>0.49446827726349057</v>
      </c>
      <c r="BY69" s="6">
        <f t="shared" si="35"/>
        <v>0.51576565211146774</v>
      </c>
      <c r="BZ69" s="6">
        <f t="shared" si="35"/>
        <v>0.52149397895713612</v>
      </c>
      <c r="CA69" s="6">
        <f t="shared" si="35"/>
        <v>0.52305649933975962</v>
      </c>
      <c r="CB69" s="6">
        <f t="shared" si="35"/>
        <v>0.52348433598989241</v>
      </c>
      <c r="CC69" s="6">
        <f t="shared" si="35"/>
        <v>0.52360160483419294</v>
      </c>
      <c r="CD69" s="6">
        <f t="shared" si="35"/>
        <v>0.52363375707534621</v>
      </c>
      <c r="CE69" s="6">
        <f t="shared" si="35"/>
        <v>0.52364257312109652</v>
      </c>
      <c r="CF69" s="6">
        <f t="shared" si="35"/>
        <v>0.5236449905056163</v>
      </c>
      <c r="CG69" s="6">
        <f t="shared" si="35"/>
        <v>0.52364565336314417</v>
      </c>
      <c r="CH69" s="6">
        <f t="shared" si="35"/>
        <v>0.52364583512190344</v>
      </c>
      <c r="CI69" s="6">
        <f t="shared" si="35"/>
        <v>0.52364588496106157</v>
      </c>
      <c r="CJ69" s="6">
        <f t="shared" si="35"/>
        <v>0.52364589862720901</v>
      </c>
      <c r="CK69" s="6">
        <f t="shared" si="35"/>
        <v>0.52364590237453534</v>
      </c>
      <c r="CL69" s="6">
        <f t="shared" si="35"/>
        <v>0.52364590340207107</v>
      </c>
      <c r="CM69" s="6">
        <f t="shared" si="35"/>
        <v>0.52364590368382657</v>
      </c>
      <c r="CN69" s="6">
        <f t="shared" si="35"/>
        <v>0.52364590376108522</v>
      </c>
      <c r="CO69" s="6">
        <f t="shared" si="35"/>
        <v>0.52364590378227005</v>
      </c>
      <c r="CP69" s="6">
        <f t="shared" si="35"/>
        <v>0.52364590378807896</v>
      </c>
      <c r="CQ69" s="6">
        <f t="shared" si="35"/>
        <v>0.5236459037896718</v>
      </c>
      <c r="CR69" s="6">
        <f t="shared" si="35"/>
        <v>0.52364590379010867</v>
      </c>
      <c r="CS69" s="6">
        <f t="shared" si="35"/>
        <v>0.52364590379022846</v>
      </c>
      <c r="CT69" s="6">
        <f t="shared" si="35"/>
        <v>0.52364590379026121</v>
      </c>
      <c r="CU69" s="6">
        <f t="shared" si="35"/>
        <v>0.52364590379027021</v>
      </c>
      <c r="CV69" s="6">
        <f t="shared" si="35"/>
        <v>0.52364590379027265</v>
      </c>
      <c r="CW69" s="6">
        <f t="shared" si="35"/>
        <v>0.52364590379027331</v>
      </c>
      <c r="CX69" s="6">
        <f t="shared" si="35"/>
        <v>0.52364590379027354</v>
      </c>
      <c r="CY69" s="6">
        <f t="shared" si="35"/>
        <v>0.52364590379027354</v>
      </c>
      <c r="CZ69" s="6">
        <f t="shared" si="16"/>
        <v>100</v>
      </c>
      <c r="DB69" s="24"/>
      <c r="DC69" s="4">
        <v>0</v>
      </c>
      <c r="DD69" s="6">
        <f t="shared" si="17"/>
        <v>300</v>
      </c>
      <c r="DE69" s="6">
        <f t="shared" si="32"/>
        <v>123.28767123287672</v>
      </c>
      <c r="DF69" s="6">
        <f t="shared" si="32"/>
        <v>60.961842402348154</v>
      </c>
      <c r="DG69" s="6">
        <f t="shared" si="32"/>
        <v>31.442024400563621</v>
      </c>
      <c r="DH69" s="6">
        <f t="shared" si="32"/>
        <v>16.396826411117285</v>
      </c>
      <c r="DI69" s="6">
        <f t="shared" si="32"/>
        <v>8.5764666228807211</v>
      </c>
      <c r="DJ69" s="6">
        <f t="shared" si="32"/>
        <v>4.4896459352181886</v>
      </c>
      <c r="DK69" s="6">
        <f t="shared" si="32"/>
        <v>2.3507858168175546</v>
      </c>
      <c r="DL69" s="6">
        <f t="shared" si="30"/>
        <v>1.2309508093396129</v>
      </c>
      <c r="DM69" s="6">
        <f t="shared" si="30"/>
        <v>0.64457824918809103</v>
      </c>
      <c r="DN69" s="6">
        <f t="shared" si="30"/>
        <v>0.33753017117622475</v>
      </c>
      <c r="DO69" s="6">
        <f t="shared" si="30"/>
        <v>0.17674620701534813</v>
      </c>
      <c r="DP69" s="6">
        <f t="shared" si="30"/>
        <v>9.2552415177180797E-2</v>
      </c>
      <c r="DQ69" s="6">
        <f t="shared" si="30"/>
        <v>4.8464691350738429E-2</v>
      </c>
      <c r="DR69" s="6">
        <f t="shared" si="30"/>
        <v>2.5378336854047744E-2</v>
      </c>
      <c r="DS69" s="6">
        <f t="shared" si="30"/>
        <v>1.3289262102702756E-2</v>
      </c>
      <c r="DT69" s="6">
        <f t="shared" si="30"/>
        <v>6.9588676593166912E-3</v>
      </c>
      <c r="DU69" s="6">
        <f t="shared" si="24"/>
        <v>3.6439825440790436E-3</v>
      </c>
      <c r="DV69" s="6">
        <f t="shared" si="24"/>
        <v>1.9081565325838894E-3</v>
      </c>
      <c r="DW69" s="6">
        <f t="shared" si="24"/>
        <v>9.9919835206293325E-4</v>
      </c>
      <c r="DX69" s="6">
        <f t="shared" si="24"/>
        <v>5.2322612412955387E-4</v>
      </c>
      <c r="DY69" s="6">
        <f t="shared" si="24"/>
        <v>2.7398521665618727E-4</v>
      </c>
      <c r="DZ69" s="6">
        <f t="shared" si="24"/>
        <v>1.434712364010579E-4</v>
      </c>
      <c r="EA69" s="6">
        <f t="shared" si="24"/>
        <v>7.5128125253133484E-5</v>
      </c>
      <c r="EB69" s="6">
        <f t="shared" si="24"/>
        <v>3.9340535048245028E-5</v>
      </c>
      <c r="EC69" s="6">
        <f t="shared" si="20"/>
        <v>2.0600510030931069E-5</v>
      </c>
      <c r="ED69" s="6">
        <f t="shared" si="20"/>
        <v>1.0787372693687478E-5</v>
      </c>
      <c r="EE69" s="6">
        <f t="shared" si="20"/>
        <v>5.6487635237084939E-6</v>
      </c>
      <c r="EF69" s="6">
        <f t="shared" si="20"/>
        <v>2.9579518806698644E-6</v>
      </c>
      <c r="EG69" s="6">
        <f t="shared" si="20"/>
        <v>1.5489193859215107E-6</v>
      </c>
      <c r="EH69" s="6">
        <f t="shared" si="20"/>
        <v>22.691323308663819</v>
      </c>
    </row>
    <row r="70" spans="5:138">
      <c r="AM70" s="10"/>
    </row>
    <row r="71" spans="5:138">
      <c r="AM71" s="10"/>
    </row>
    <row r="72" spans="5:138">
      <c r="AM72" s="10"/>
    </row>
    <row r="73" spans="5:138">
      <c r="E73" s="25" t="s">
        <v>18</v>
      </c>
      <c r="F73" s="1" t="s">
        <v>2</v>
      </c>
      <c r="G73" s="1">
        <v>0</v>
      </c>
      <c r="H73" s="4">
        <v>3.3333333333333335E-3</v>
      </c>
      <c r="I73" s="4">
        <v>6.6666666666666671E-3</v>
      </c>
      <c r="J73" s="4">
        <v>0.01</v>
      </c>
      <c r="K73" s="4">
        <v>1.3333333333333334E-2</v>
      </c>
      <c r="L73" s="4">
        <v>1.6666666666666666E-2</v>
      </c>
      <c r="M73" s="4">
        <v>0.02</v>
      </c>
      <c r="N73" s="4">
        <v>2.3333333333333334E-2</v>
      </c>
      <c r="O73" s="4">
        <v>2.6666666666666668E-2</v>
      </c>
      <c r="P73" s="4">
        <v>3.0000000000000002E-2</v>
      </c>
      <c r="Q73" s="4">
        <v>3.3333333333333333E-2</v>
      </c>
      <c r="R73" s="4">
        <v>3.6666666666666667E-2</v>
      </c>
      <c r="S73" s="4">
        <v>0.04</v>
      </c>
      <c r="T73" s="4">
        <v>4.3333333333333335E-2</v>
      </c>
      <c r="U73" s="4">
        <v>4.6666666666666669E-2</v>
      </c>
      <c r="V73" s="4">
        <v>0.05</v>
      </c>
      <c r="W73" s="4">
        <v>5.3333333333333337E-2</v>
      </c>
      <c r="X73" s="4">
        <v>5.6666666666666671E-2</v>
      </c>
      <c r="Y73" s="4">
        <v>6.0000000000000005E-2</v>
      </c>
      <c r="Z73" s="4">
        <v>6.3333333333333339E-2</v>
      </c>
      <c r="AA73" s="4">
        <v>6.6666666666666666E-2</v>
      </c>
      <c r="AB73" s="4">
        <v>7.0000000000000007E-2</v>
      </c>
      <c r="AC73" s="4">
        <v>7.3333333333333334E-2</v>
      </c>
      <c r="AD73" s="4">
        <v>7.6666666666666675E-2</v>
      </c>
      <c r="AE73" s="4">
        <v>0.08</v>
      </c>
      <c r="AF73" s="4">
        <v>8.3333333333333343E-2</v>
      </c>
      <c r="AG73" s="4">
        <v>8.666666666666667E-2</v>
      </c>
      <c r="AH73" s="4">
        <v>9.0000000000000011E-2</v>
      </c>
      <c r="AI73" s="4">
        <v>9.3333333333333338E-2</v>
      </c>
      <c r="AJ73" s="4">
        <v>9.6666666666666679E-2</v>
      </c>
      <c r="AK73" s="4">
        <v>0.1</v>
      </c>
      <c r="AL73" s="24" t="s">
        <v>19</v>
      </c>
      <c r="AM73" s="1" t="s">
        <v>2</v>
      </c>
      <c r="AN73" s="1">
        <v>0</v>
      </c>
      <c r="AO73" s="4">
        <v>3.3333333333333335E-3</v>
      </c>
      <c r="AP73" s="4">
        <v>6.6666666666666671E-3</v>
      </c>
      <c r="AQ73" s="4">
        <v>0.01</v>
      </c>
      <c r="AR73" s="4">
        <v>1.3333333333333334E-2</v>
      </c>
      <c r="AS73" s="4">
        <v>1.6666666666666666E-2</v>
      </c>
      <c r="AT73" s="4">
        <v>0.02</v>
      </c>
      <c r="AU73" s="4">
        <v>2.3333333333333334E-2</v>
      </c>
      <c r="AV73" s="4">
        <v>2.6666666666666668E-2</v>
      </c>
      <c r="AW73" s="4">
        <v>3.0000000000000002E-2</v>
      </c>
      <c r="AX73" s="4">
        <v>3.3333333333333333E-2</v>
      </c>
      <c r="AY73" s="4">
        <v>3.6666666666666667E-2</v>
      </c>
      <c r="AZ73" s="4">
        <v>0.04</v>
      </c>
      <c r="BA73" s="4">
        <v>4.3333333333333335E-2</v>
      </c>
      <c r="BB73" s="4">
        <v>4.6666666666666669E-2</v>
      </c>
      <c r="BC73" s="4">
        <v>0.05</v>
      </c>
      <c r="BD73" s="4">
        <v>5.3333333333333337E-2</v>
      </c>
      <c r="BE73" s="4">
        <v>5.6666666666666671E-2</v>
      </c>
      <c r="BF73" s="4">
        <v>6.0000000000000005E-2</v>
      </c>
      <c r="BG73" s="4">
        <v>6.3333333333333339E-2</v>
      </c>
      <c r="BH73" s="4">
        <v>6.6666666666666666E-2</v>
      </c>
      <c r="BI73" s="4">
        <v>7.0000000000000007E-2</v>
      </c>
      <c r="BJ73" s="4">
        <v>7.3333333333333334E-2</v>
      </c>
      <c r="BK73" s="4">
        <v>7.6666666666666675E-2</v>
      </c>
      <c r="BL73" s="4">
        <v>0.08</v>
      </c>
      <c r="BM73" s="4">
        <v>8.3333333333333343E-2</v>
      </c>
      <c r="BN73" s="4">
        <v>8.666666666666667E-2</v>
      </c>
      <c r="BO73" s="4">
        <v>9.0000000000000011E-2</v>
      </c>
      <c r="BP73" s="4">
        <v>9.3333333333333338E-2</v>
      </c>
      <c r="BQ73" s="4">
        <v>9.6666666666666679E-2</v>
      </c>
      <c r="BR73" s="4">
        <v>0.1</v>
      </c>
      <c r="BT73" s="27" t="s">
        <v>20</v>
      </c>
      <c r="BU73" s="1" t="s">
        <v>2</v>
      </c>
      <c r="BV73" s="1">
        <v>0</v>
      </c>
      <c r="BW73" s="4">
        <v>3.3333333333333335E-3</v>
      </c>
      <c r="BX73" s="4">
        <v>6.6666666666666671E-3</v>
      </c>
      <c r="BY73" s="4">
        <v>0.01</v>
      </c>
      <c r="BZ73" s="4">
        <v>1.3333333333333334E-2</v>
      </c>
      <c r="CA73" s="4">
        <v>1.6666666666666666E-2</v>
      </c>
      <c r="CB73" s="4">
        <v>0.02</v>
      </c>
      <c r="CC73" s="4">
        <v>2.3333333333333334E-2</v>
      </c>
      <c r="CD73" s="4">
        <v>2.6666666666666668E-2</v>
      </c>
      <c r="CE73" s="4">
        <v>3.0000000000000002E-2</v>
      </c>
      <c r="CF73" s="4">
        <v>3.3333333333333333E-2</v>
      </c>
      <c r="CG73" s="4">
        <v>3.6666666666666667E-2</v>
      </c>
      <c r="CH73" s="4">
        <v>0.04</v>
      </c>
      <c r="CI73" s="4">
        <v>4.3333333333333335E-2</v>
      </c>
      <c r="CJ73" s="4">
        <v>4.6666666666666669E-2</v>
      </c>
      <c r="CK73" s="4">
        <v>0.05</v>
      </c>
      <c r="CL73" s="4">
        <v>5.3333333333333337E-2</v>
      </c>
      <c r="CM73" s="4">
        <v>5.6666666666666671E-2</v>
      </c>
      <c r="CN73" s="4">
        <v>6.0000000000000005E-2</v>
      </c>
      <c r="CO73" s="4">
        <v>6.3333333333333339E-2</v>
      </c>
      <c r="CP73" s="4">
        <v>6.6666666666666666E-2</v>
      </c>
      <c r="CQ73" s="4">
        <v>7.0000000000000007E-2</v>
      </c>
      <c r="CR73" s="4">
        <v>7.3333333333333334E-2</v>
      </c>
      <c r="CS73" s="4">
        <v>7.6666666666666675E-2</v>
      </c>
      <c r="CT73" s="4">
        <v>0.08</v>
      </c>
      <c r="CU73" s="4">
        <v>8.3333333333333343E-2</v>
      </c>
      <c r="CV73" s="4">
        <v>8.666666666666667E-2</v>
      </c>
      <c r="CW73" s="4">
        <v>9.0000000000000011E-2</v>
      </c>
      <c r="CX73" s="4">
        <v>9.3333333333333338E-2</v>
      </c>
      <c r="CY73" s="4">
        <v>9.6666666666666679E-2</v>
      </c>
      <c r="CZ73" s="4">
        <v>0.1</v>
      </c>
      <c r="DB73" s="27" t="s">
        <v>21</v>
      </c>
      <c r="DC73" s="1" t="s">
        <v>2</v>
      </c>
      <c r="DD73" s="1">
        <v>0</v>
      </c>
      <c r="DE73" s="4">
        <v>3.3333333333333335E-3</v>
      </c>
      <c r="DF73" s="4">
        <v>6.6666666666666671E-3</v>
      </c>
      <c r="DG73" s="4">
        <v>0.01</v>
      </c>
      <c r="DH73" s="4">
        <v>1.3333333333333334E-2</v>
      </c>
      <c r="DI73" s="4">
        <v>1.6666666666666666E-2</v>
      </c>
      <c r="DJ73" s="4">
        <v>0.02</v>
      </c>
      <c r="DK73" s="4">
        <v>2.3333333333333334E-2</v>
      </c>
      <c r="DL73" s="4">
        <v>2.6666666666666668E-2</v>
      </c>
      <c r="DM73" s="4">
        <v>3.0000000000000002E-2</v>
      </c>
      <c r="DN73" s="4">
        <v>3.3333333333333333E-2</v>
      </c>
      <c r="DO73" s="4">
        <v>3.6666666666666667E-2</v>
      </c>
      <c r="DP73" s="4">
        <v>0.04</v>
      </c>
      <c r="DQ73" s="4">
        <v>4.3333333333333335E-2</v>
      </c>
      <c r="DR73" s="4">
        <v>4.6666666666666669E-2</v>
      </c>
      <c r="DS73" s="4">
        <v>0.05</v>
      </c>
      <c r="DT73" s="4">
        <v>5.3333333333333337E-2</v>
      </c>
      <c r="DU73" s="4">
        <v>5.6666666666666671E-2</v>
      </c>
      <c r="DV73" s="4">
        <v>6.0000000000000005E-2</v>
      </c>
      <c r="DW73" s="4">
        <v>6.3333333333333339E-2</v>
      </c>
      <c r="DX73" s="4">
        <v>6.6666666666666666E-2</v>
      </c>
      <c r="DY73" s="4">
        <v>7.0000000000000007E-2</v>
      </c>
      <c r="DZ73" s="4">
        <v>7.3333333333333334E-2</v>
      </c>
      <c r="EA73" s="4">
        <v>7.6666666666666675E-2</v>
      </c>
      <c r="EB73" s="4">
        <v>0.08</v>
      </c>
      <c r="EC73" s="4">
        <v>8.3333333333333343E-2</v>
      </c>
      <c r="ED73" s="4">
        <v>8.666666666666667E-2</v>
      </c>
      <c r="EE73" s="4">
        <v>9.0000000000000011E-2</v>
      </c>
      <c r="EF73" s="4">
        <v>9.3333333333333338E-2</v>
      </c>
      <c r="EG73" s="4">
        <v>9.6666666666666679E-2</v>
      </c>
      <c r="EH73" s="4">
        <v>0.1</v>
      </c>
    </row>
    <row r="74" spans="5:138">
      <c r="E74" s="26"/>
      <c r="F74" s="4">
        <v>0.1</v>
      </c>
      <c r="G74" s="6">
        <f>$B$16</f>
        <v>300</v>
      </c>
      <c r="H74" s="6">
        <f t="shared" ref="H74:AI74" si="36">DE75/(1-BW75)</f>
        <v>157.09377165338856</v>
      </c>
      <c r="I74" s="6">
        <f t="shared" si="36"/>
        <v>82.261511023245461</v>
      </c>
      <c r="J74" s="6">
        <f t="shared" si="36"/>
        <v>43.075905169842081</v>
      </c>
      <c r="K74" s="6">
        <f t="shared" si="36"/>
        <v>22.556524890036926</v>
      </c>
      <c r="L74" s="6">
        <f t="shared" si="36"/>
        <v>11.811638729247788</v>
      </c>
      <c r="M74" s="6">
        <f t="shared" si="36"/>
        <v>6.1851293511326917</v>
      </c>
      <c r="N74" s="6">
        <f t="shared" si="36"/>
        <v>3.2388426918417639</v>
      </c>
      <c r="O74" s="6">
        <f t="shared" si="36"/>
        <v>1.6960545323489362</v>
      </c>
      <c r="P74" s="6">
        <f t="shared" si="36"/>
        <v>0.8882233368739797</v>
      </c>
      <c r="Q74" s="6">
        <f t="shared" si="36"/>
        <v>0.46528892071108169</v>
      </c>
      <c r="R74" s="6">
        <f t="shared" si="36"/>
        <v>0.24397970352298565</v>
      </c>
      <c r="S74" s="6">
        <f t="shared" si="36"/>
        <v>0.12839502452818347</v>
      </c>
      <c r="T74" s="6">
        <f t="shared" si="36"/>
        <v>6.8448189495594045E-2</v>
      </c>
      <c r="U74" s="6">
        <f t="shared" si="36"/>
        <v>3.8162236577762063E-2</v>
      </c>
      <c r="V74" s="6">
        <f t="shared" si="36"/>
        <v>2.4413252843626963E-2</v>
      </c>
      <c r="W74" s="6">
        <f t="shared" si="36"/>
        <v>2.1243345341730228E-2</v>
      </c>
      <c r="X74" s="6">
        <f t="shared" si="36"/>
        <v>2.7278887487916591E-2</v>
      </c>
      <c r="Y74" s="6">
        <f t="shared" si="36"/>
        <v>4.5135280878866806E-2</v>
      </c>
      <c r="Z74" s="6">
        <f t="shared" si="36"/>
        <v>8.2550295983992661E-2</v>
      </c>
      <c r="AA74" s="6">
        <f t="shared" si="36"/>
        <v>0.15573710601551533</v>
      </c>
      <c r="AB74" s="6">
        <f t="shared" si="36"/>
        <v>0.296409995320428</v>
      </c>
      <c r="AC74" s="6">
        <f t="shared" si="36"/>
        <v>0.56552721593085953</v>
      </c>
      <c r="AD74" s="6">
        <f t="shared" si="36"/>
        <v>1.0797062301113298</v>
      </c>
      <c r="AE74" s="6">
        <f t="shared" si="36"/>
        <v>2.0617579440067098</v>
      </c>
      <c r="AF74" s="6">
        <f t="shared" si="36"/>
        <v>3.9372381003049979</v>
      </c>
      <c r="AG74" s="6">
        <f t="shared" si="36"/>
        <v>7.5188547667354513</v>
      </c>
      <c r="AH74" s="6">
        <f t="shared" si="36"/>
        <v>14.358641832084603</v>
      </c>
      <c r="AI74" s="6">
        <f t="shared" si="36"/>
        <v>27.420507024670417</v>
      </c>
      <c r="AJ74" s="6">
        <f>EG75/(1-CY75)</f>
        <v>52.364591927946748</v>
      </c>
      <c r="AK74" s="6">
        <f>$B$17</f>
        <v>100</v>
      </c>
      <c r="AL74" s="24"/>
      <c r="AM74" s="4">
        <v>0.1</v>
      </c>
      <c r="AN74" s="6">
        <f>-($B$12*$B$11)/$B$8*G39</f>
        <v>-538200000</v>
      </c>
      <c r="AO74" s="6">
        <f t="shared" ref="AO74:BR82" si="37">-($B$12*$B$11)/$B$8*H39</f>
        <v>-281826226.34617907</v>
      </c>
      <c r="AP74" s="6">
        <f t="shared" si="37"/>
        <v>-147577150.77570233</v>
      </c>
      <c r="AQ74" s="6">
        <f t="shared" si="37"/>
        <v>-77278173.874696672</v>
      </c>
      <c r="AR74" s="6">
        <f t="shared" si="37"/>
        <v>-40466405.65272624</v>
      </c>
      <c r="AS74" s="6">
        <f t="shared" si="37"/>
        <v>-21190079.880270526</v>
      </c>
      <c r="AT74" s="6">
        <f t="shared" si="37"/>
        <v>-11096122.055932045</v>
      </c>
      <c r="AU74" s="6">
        <f t="shared" si="37"/>
        <v>-5810483.7891641241</v>
      </c>
      <c r="AV74" s="6">
        <f t="shared" si="37"/>
        <v>-3042721.8310339907</v>
      </c>
      <c r="AW74" s="6">
        <f t="shared" si="37"/>
        <v>-1593472.6663519195</v>
      </c>
      <c r="AX74" s="6">
        <f t="shared" si="37"/>
        <v>-834728.32375568047</v>
      </c>
      <c r="AY74" s="6">
        <f t="shared" si="37"/>
        <v>-437699.58812023624</v>
      </c>
      <c r="AZ74" s="6">
        <f t="shared" si="37"/>
        <v>-230340.67400356109</v>
      </c>
      <c r="BA74" s="6">
        <f t="shared" si="37"/>
        <v>-122796.0519550957</v>
      </c>
      <c r="BB74" s="6">
        <f t="shared" si="37"/>
        <v>-68463.052420505119</v>
      </c>
      <c r="BC74" s="6">
        <f t="shared" si="37"/>
        <v>-43797.375601466774</v>
      </c>
      <c r="BD74" s="6">
        <f t="shared" si="37"/>
        <v>-38110.561543064025</v>
      </c>
      <c r="BE74" s="6">
        <f t="shared" si="37"/>
        <v>-48938.324153322355</v>
      </c>
      <c r="BF74" s="6">
        <f t="shared" si="37"/>
        <v>-80972.693896687037</v>
      </c>
      <c r="BG74" s="6">
        <f t="shared" si="37"/>
        <v>-148095.23099528282</v>
      </c>
      <c r="BH74" s="6">
        <f t="shared" si="37"/>
        <v>-279392.36819183442</v>
      </c>
      <c r="BI74" s="6">
        <f t="shared" si="37"/>
        <v>-531759.53160484775</v>
      </c>
      <c r="BJ74" s="6">
        <f t="shared" si="37"/>
        <v>-1014555.8253799618</v>
      </c>
      <c r="BK74" s="6">
        <f t="shared" si="37"/>
        <v>-1936992.9768197257</v>
      </c>
      <c r="BL74" s="6">
        <f t="shared" si="37"/>
        <v>-3698793.7515480374</v>
      </c>
      <c r="BM74" s="6">
        <f t="shared" si="37"/>
        <v>-7063405.1519471649</v>
      </c>
      <c r="BN74" s="6">
        <f t="shared" si="37"/>
        <v>-13488825.451523397</v>
      </c>
      <c r="BO74" s="6">
        <f t="shared" si="37"/>
        <v>-25759403.446759775</v>
      </c>
      <c r="BP74" s="6">
        <f t="shared" si="37"/>
        <v>-49192389.60225872</v>
      </c>
      <c r="BQ74" s="6">
        <f t="shared" si="37"/>
        <v>-93942077.918736458</v>
      </c>
      <c r="BR74" s="6">
        <f t="shared" si="37"/>
        <v>-179400000</v>
      </c>
      <c r="BT74" s="24"/>
      <c r="BU74" s="4">
        <v>0.1</v>
      </c>
      <c r="BV74" s="6">
        <f>$B$20/($B$21-$B$22*BV75)</f>
        <v>0.52364590379027365</v>
      </c>
      <c r="BW74" s="6">
        <f>$B$20/($B$21-$B$22*BW75)</f>
        <v>0.52364590379027365</v>
      </c>
      <c r="BX74" s="6">
        <f t="shared" ref="BX74:CZ82" si="38">$B$20/($B$21-$B$22*BX75)</f>
        <v>0.52364590379027365</v>
      </c>
      <c r="BY74" s="6">
        <f t="shared" si="38"/>
        <v>0.52364590379027365</v>
      </c>
      <c r="BZ74" s="6">
        <f t="shared" si="38"/>
        <v>0.52364590379027365</v>
      </c>
      <c r="CA74" s="6">
        <f t="shared" si="38"/>
        <v>0.52364590379027365</v>
      </c>
      <c r="CB74" s="6">
        <f t="shared" si="38"/>
        <v>0.52364590379027365</v>
      </c>
      <c r="CC74" s="6">
        <f t="shared" si="38"/>
        <v>0.52364590379027365</v>
      </c>
      <c r="CD74" s="6">
        <f t="shared" si="38"/>
        <v>0.52364590379027365</v>
      </c>
      <c r="CE74" s="6">
        <f t="shared" si="38"/>
        <v>0.52364590379027365</v>
      </c>
      <c r="CF74" s="6">
        <f t="shared" si="38"/>
        <v>0.52364590379027365</v>
      </c>
      <c r="CG74" s="6">
        <f t="shared" si="38"/>
        <v>0.52364590379027365</v>
      </c>
      <c r="CH74" s="6">
        <f t="shared" si="38"/>
        <v>0.52364590379027365</v>
      </c>
      <c r="CI74" s="6">
        <f t="shared" si="38"/>
        <v>0.52364590379027365</v>
      </c>
      <c r="CJ74" s="6">
        <f t="shared" si="38"/>
        <v>0.52364590379027365</v>
      </c>
      <c r="CK74" s="6">
        <f t="shared" si="38"/>
        <v>0.52364590379027365</v>
      </c>
      <c r="CL74" s="6">
        <f t="shared" si="38"/>
        <v>0.52364590379027365</v>
      </c>
      <c r="CM74" s="6">
        <f t="shared" si="38"/>
        <v>0.52364590379027365</v>
      </c>
      <c r="CN74" s="6">
        <f t="shared" si="38"/>
        <v>0.52364590379027365</v>
      </c>
      <c r="CO74" s="6">
        <f t="shared" si="38"/>
        <v>0.52364590379027365</v>
      </c>
      <c r="CP74" s="6">
        <f t="shared" si="38"/>
        <v>0.52364590379027365</v>
      </c>
      <c r="CQ74" s="6">
        <f t="shared" si="38"/>
        <v>0.52364590379027365</v>
      </c>
      <c r="CR74" s="6">
        <f t="shared" si="38"/>
        <v>0.52364590379027365</v>
      </c>
      <c r="CS74" s="6">
        <f t="shared" si="38"/>
        <v>0.52364590379027365</v>
      </c>
      <c r="CT74" s="6">
        <f t="shared" si="38"/>
        <v>0.52364590379027365</v>
      </c>
      <c r="CU74" s="6">
        <f t="shared" si="38"/>
        <v>0.52364590379027365</v>
      </c>
      <c r="CV74" s="6">
        <f t="shared" si="38"/>
        <v>0.52364590379027365</v>
      </c>
      <c r="CW74" s="6">
        <f t="shared" si="38"/>
        <v>0.52364590379027365</v>
      </c>
      <c r="CX74" s="6">
        <f t="shared" si="38"/>
        <v>0.52364590379027365</v>
      </c>
      <c r="CY74" s="6">
        <f t="shared" si="38"/>
        <v>0.52364590379027365</v>
      </c>
      <c r="CZ74" s="6">
        <f t="shared" si="38"/>
        <v>0.52364590379027365</v>
      </c>
      <c r="DB74" s="24"/>
      <c r="DC74" s="4">
        <v>0.1</v>
      </c>
      <c r="DD74" s="6">
        <f>(DD75*$B$22-AN74)/($B$21-$B$22*BV75)</f>
        <v>142.90622886291791</v>
      </c>
      <c r="DE74" s="6">
        <f t="shared" ref="DE74:EH82" si="39">(DE75*$B$22-AO74)/($B$21-$B$22*BW75)</f>
        <v>74.832261616127042</v>
      </c>
      <c r="DF74" s="6">
        <f t="shared" si="39"/>
        <v>39.185607736324535</v>
      </c>
      <c r="DG74" s="6">
        <f t="shared" si="39"/>
        <v>20.519383875596002</v>
      </c>
      <c r="DH74" s="6">
        <f t="shared" si="39"/>
        <v>10.744893027625738</v>
      </c>
      <c r="DI74" s="6">
        <f t="shared" si="39"/>
        <v>5.6265224916266305</v>
      </c>
      <c r="DJ74" s="6">
        <f t="shared" si="39"/>
        <v>2.9463117019990639</v>
      </c>
      <c r="DK74" s="6">
        <f t="shared" si="39"/>
        <v>1.5428359832377609</v>
      </c>
      <c r="DL74" s="6">
        <f t="shared" si="39"/>
        <v>0.80792252387948749</v>
      </c>
      <c r="DM74" s="6">
        <f t="shared" si="39"/>
        <v>0.42310882486899198</v>
      </c>
      <c r="DN74" s="6">
        <f t="shared" si="39"/>
        <v>0.22164228330172636</v>
      </c>
      <c r="DO74" s="6">
        <f t="shared" si="39"/>
        <v>0.11622073116520883</v>
      </c>
      <c r="DP74" s="6">
        <f t="shared" si="39"/>
        <v>6.1161495866948482E-2</v>
      </c>
      <c r="DQ74" s="6">
        <f t="shared" si="39"/>
        <v>3.2605575444365785E-2</v>
      </c>
      <c r="DR74" s="6">
        <f t="shared" si="39"/>
        <v>1.8178737714341607E-2</v>
      </c>
      <c r="DS74" s="6">
        <f t="shared" si="39"/>
        <v>1.1629352993865456E-2</v>
      </c>
      <c r="DT74" s="6">
        <f t="shared" si="39"/>
        <v>1.0119354570731005E-2</v>
      </c>
      <c r="DU74" s="6">
        <f t="shared" si="39"/>
        <v>1.2994409794913319E-2</v>
      </c>
      <c r="DV74" s="6">
        <f t="shared" si="39"/>
        <v>2.150037593022474E-2</v>
      </c>
      <c r="DW74" s="6">
        <f t="shared" si="39"/>
        <v>3.9323171635300226E-2</v>
      </c>
      <c r="DX74" s="6">
        <f t="shared" si="39"/>
        <v>7.418600838233913E-2</v>
      </c>
      <c r="DY74" s="6">
        <f t="shared" si="39"/>
        <v>0.14119611542839169</v>
      </c>
      <c r="DZ74" s="6">
        <f t="shared" si="39"/>
        <v>0.26939120582674736</v>
      </c>
      <c r="EA74" s="6">
        <f t="shared" si="39"/>
        <v>0.51432248541669334</v>
      </c>
      <c r="EB74" s="6">
        <f t="shared" si="39"/>
        <v>0.9821268420205399</v>
      </c>
      <c r="EC74" s="6">
        <f t="shared" si="39"/>
        <v>1.8755194968332873</v>
      </c>
      <c r="ED74" s="6">
        <f t="shared" si="39"/>
        <v>3.5816372669404588</v>
      </c>
      <c r="EE74" s="6">
        <f t="shared" si="39"/>
        <v>6.8397978527218308</v>
      </c>
      <c r="EF74" s="6">
        <f t="shared" si="39"/>
        <v>13.061870841349331</v>
      </c>
      <c r="EG74" s="6">
        <f t="shared" si="39"/>
        <v>24.944087861228205</v>
      </c>
      <c r="EH74" s="6">
        <f t="shared" si="39"/>
        <v>47.635409620972645</v>
      </c>
    </row>
    <row r="75" spans="5:138">
      <c r="E75" s="26"/>
      <c r="F75" s="4">
        <v>9.6666666666666679E-2</v>
      </c>
      <c r="G75" s="6">
        <f t="shared" ref="G75:G104" si="40">$B$16</f>
        <v>300</v>
      </c>
      <c r="H75" s="6">
        <f>BW75*H74+DE75</f>
        <v>157.09377165338856</v>
      </c>
      <c r="I75" s="6">
        <f t="shared" ref="I75:AJ84" si="41">BX75*I74+DF75</f>
        <v>82.261511023245461</v>
      </c>
      <c r="J75" s="6">
        <f t="shared" si="41"/>
        <v>43.075905169842081</v>
      </c>
      <c r="K75" s="6">
        <f t="shared" si="41"/>
        <v>22.556524890036926</v>
      </c>
      <c r="L75" s="6">
        <f t="shared" si="41"/>
        <v>11.811638729247788</v>
      </c>
      <c r="M75" s="6">
        <f t="shared" si="41"/>
        <v>6.1851293511326917</v>
      </c>
      <c r="N75" s="6">
        <f t="shared" si="41"/>
        <v>3.2388426918417639</v>
      </c>
      <c r="O75" s="6">
        <f t="shared" si="41"/>
        <v>1.6960545323489362</v>
      </c>
      <c r="P75" s="6">
        <f t="shared" si="41"/>
        <v>0.8882233368739797</v>
      </c>
      <c r="Q75" s="6">
        <f t="shared" si="41"/>
        <v>0.46528892071108169</v>
      </c>
      <c r="R75" s="6">
        <f t="shared" si="41"/>
        <v>0.24397970352298565</v>
      </c>
      <c r="S75" s="6">
        <f t="shared" si="41"/>
        <v>0.12839502452818347</v>
      </c>
      <c r="T75" s="6">
        <f t="shared" si="41"/>
        <v>6.8448189495594045E-2</v>
      </c>
      <c r="U75" s="6">
        <f t="shared" si="41"/>
        <v>3.8162236577762063E-2</v>
      </c>
      <c r="V75" s="6">
        <f t="shared" si="41"/>
        <v>2.4413252843626963E-2</v>
      </c>
      <c r="W75" s="6">
        <f t="shared" si="41"/>
        <v>2.1243345341730228E-2</v>
      </c>
      <c r="X75" s="6">
        <f t="shared" si="41"/>
        <v>2.7278887487916591E-2</v>
      </c>
      <c r="Y75" s="6">
        <f t="shared" si="41"/>
        <v>4.5135280878866806E-2</v>
      </c>
      <c r="Z75" s="6">
        <f t="shared" si="41"/>
        <v>8.2550295983992661E-2</v>
      </c>
      <c r="AA75" s="6">
        <f t="shared" si="41"/>
        <v>0.15573710601551533</v>
      </c>
      <c r="AB75" s="6">
        <f t="shared" si="41"/>
        <v>0.296409995320428</v>
      </c>
      <c r="AC75" s="6">
        <f t="shared" si="41"/>
        <v>0.56552721593085953</v>
      </c>
      <c r="AD75" s="6">
        <f t="shared" si="41"/>
        <v>1.0797062301113298</v>
      </c>
      <c r="AE75" s="6">
        <f t="shared" si="41"/>
        <v>2.0617579440067098</v>
      </c>
      <c r="AF75" s="6">
        <f t="shared" si="41"/>
        <v>3.9372381003049979</v>
      </c>
      <c r="AG75" s="6">
        <f t="shared" si="41"/>
        <v>7.5188547667354513</v>
      </c>
      <c r="AH75" s="6">
        <f t="shared" si="41"/>
        <v>14.358641832084603</v>
      </c>
      <c r="AI75" s="6">
        <f t="shared" si="41"/>
        <v>27.420507024670417</v>
      </c>
      <c r="AJ75" s="6">
        <f t="shared" si="41"/>
        <v>52.364591927946748</v>
      </c>
      <c r="AK75" s="6">
        <f t="shared" ref="AK75:AK104" si="42">$B$17</f>
        <v>100</v>
      </c>
      <c r="AL75" s="24"/>
      <c r="AM75" s="4">
        <v>9.6666666666666679E-2</v>
      </c>
      <c r="AN75" s="6">
        <f t="shared" ref="AN75:BC98" si="43">-($B$12*$B$11)/$B$8*G40</f>
        <v>-538200000</v>
      </c>
      <c r="AO75" s="6">
        <f t="shared" si="37"/>
        <v>-281826226.34617907</v>
      </c>
      <c r="AP75" s="6">
        <f t="shared" si="37"/>
        <v>-147577150.77570233</v>
      </c>
      <c r="AQ75" s="6">
        <f t="shared" si="37"/>
        <v>-77278173.874696672</v>
      </c>
      <c r="AR75" s="6">
        <f t="shared" si="37"/>
        <v>-40466405.65272624</v>
      </c>
      <c r="AS75" s="6">
        <f t="shared" si="37"/>
        <v>-21190079.880270526</v>
      </c>
      <c r="AT75" s="6">
        <f t="shared" si="37"/>
        <v>-11096122.055932045</v>
      </c>
      <c r="AU75" s="6">
        <f t="shared" si="37"/>
        <v>-5810483.7891641241</v>
      </c>
      <c r="AV75" s="6">
        <f t="shared" si="37"/>
        <v>-3042721.8310339907</v>
      </c>
      <c r="AW75" s="6">
        <f t="shared" si="37"/>
        <v>-1593472.6663519195</v>
      </c>
      <c r="AX75" s="6">
        <f t="shared" si="37"/>
        <v>-834728.32375568047</v>
      </c>
      <c r="AY75" s="6">
        <f t="shared" si="37"/>
        <v>-437699.58812023624</v>
      </c>
      <c r="AZ75" s="6">
        <f t="shared" si="37"/>
        <v>-230340.67400356109</v>
      </c>
      <c r="BA75" s="6">
        <f t="shared" si="37"/>
        <v>-122796.0519550957</v>
      </c>
      <c r="BB75" s="6">
        <f t="shared" si="37"/>
        <v>-68463.052420505119</v>
      </c>
      <c r="BC75" s="6">
        <f t="shared" si="37"/>
        <v>-43797.375601466774</v>
      </c>
      <c r="BD75" s="6">
        <f t="shared" si="37"/>
        <v>-38110.561543064025</v>
      </c>
      <c r="BE75" s="6">
        <f t="shared" si="37"/>
        <v>-48938.324153322355</v>
      </c>
      <c r="BF75" s="6">
        <f t="shared" si="37"/>
        <v>-80972.693896687037</v>
      </c>
      <c r="BG75" s="6">
        <f t="shared" si="37"/>
        <v>-148095.23099528282</v>
      </c>
      <c r="BH75" s="6">
        <f t="shared" si="37"/>
        <v>-279392.36819183442</v>
      </c>
      <c r="BI75" s="6">
        <f t="shared" si="37"/>
        <v>-531759.53160484775</v>
      </c>
      <c r="BJ75" s="6">
        <f t="shared" si="37"/>
        <v>-1014555.8253799618</v>
      </c>
      <c r="BK75" s="6">
        <f t="shared" si="37"/>
        <v>-1936992.9768197257</v>
      </c>
      <c r="BL75" s="6">
        <f t="shared" si="37"/>
        <v>-3698793.7515480374</v>
      </c>
      <c r="BM75" s="6">
        <f t="shared" si="37"/>
        <v>-7063405.1519471649</v>
      </c>
      <c r="BN75" s="6">
        <f t="shared" si="37"/>
        <v>-13488825.451523397</v>
      </c>
      <c r="BO75" s="6">
        <f t="shared" si="37"/>
        <v>-25759403.446759775</v>
      </c>
      <c r="BP75" s="6">
        <f t="shared" si="37"/>
        <v>-49192389.60225872</v>
      </c>
      <c r="BQ75" s="6">
        <f t="shared" si="37"/>
        <v>-93942077.918736458</v>
      </c>
      <c r="BR75" s="6">
        <f t="shared" si="37"/>
        <v>-179400000</v>
      </c>
      <c r="BT75" s="24"/>
      <c r="BU75" s="4">
        <v>9.6666666666666679E-2</v>
      </c>
      <c r="BV75" s="6">
        <f t="shared" ref="BV75:CK97" si="44">$B$20/($B$21-$B$22*BV76)</f>
        <v>0.52364590379027365</v>
      </c>
      <c r="BW75" s="6">
        <f t="shared" si="44"/>
        <v>0.52364590379027365</v>
      </c>
      <c r="BX75" s="6">
        <f t="shared" si="38"/>
        <v>0.52364590379027365</v>
      </c>
      <c r="BY75" s="6">
        <f t="shared" si="38"/>
        <v>0.52364590379027365</v>
      </c>
      <c r="BZ75" s="6">
        <f t="shared" si="38"/>
        <v>0.52364590379027365</v>
      </c>
      <c r="CA75" s="6">
        <f t="shared" si="38"/>
        <v>0.52364590379027365</v>
      </c>
      <c r="CB75" s="6">
        <f t="shared" si="38"/>
        <v>0.52364590379027365</v>
      </c>
      <c r="CC75" s="6">
        <f t="shared" si="38"/>
        <v>0.52364590379027365</v>
      </c>
      <c r="CD75" s="6">
        <f t="shared" si="38"/>
        <v>0.52364590379027365</v>
      </c>
      <c r="CE75" s="6">
        <f t="shared" si="38"/>
        <v>0.52364590379027365</v>
      </c>
      <c r="CF75" s="6">
        <f t="shared" si="38"/>
        <v>0.52364590379027365</v>
      </c>
      <c r="CG75" s="6">
        <f t="shared" si="38"/>
        <v>0.52364590379027365</v>
      </c>
      <c r="CH75" s="6">
        <f t="shared" si="38"/>
        <v>0.52364590379027365</v>
      </c>
      <c r="CI75" s="6">
        <f t="shared" si="38"/>
        <v>0.52364590379027365</v>
      </c>
      <c r="CJ75" s="6">
        <f t="shared" si="38"/>
        <v>0.52364590379027365</v>
      </c>
      <c r="CK75" s="6">
        <f t="shared" si="38"/>
        <v>0.52364590379027365</v>
      </c>
      <c r="CL75" s="6">
        <f t="shared" si="38"/>
        <v>0.52364590379027365</v>
      </c>
      <c r="CM75" s="6">
        <f t="shared" si="38"/>
        <v>0.52364590379027365</v>
      </c>
      <c r="CN75" s="6">
        <f t="shared" si="38"/>
        <v>0.52364590379027365</v>
      </c>
      <c r="CO75" s="6">
        <f t="shared" si="38"/>
        <v>0.52364590379027365</v>
      </c>
      <c r="CP75" s="6">
        <f t="shared" si="38"/>
        <v>0.52364590379027365</v>
      </c>
      <c r="CQ75" s="6">
        <f t="shared" si="38"/>
        <v>0.52364590379027365</v>
      </c>
      <c r="CR75" s="6">
        <f t="shared" si="38"/>
        <v>0.52364590379027365</v>
      </c>
      <c r="CS75" s="6">
        <f t="shared" si="38"/>
        <v>0.52364590379027365</v>
      </c>
      <c r="CT75" s="6">
        <f t="shared" si="38"/>
        <v>0.52364590379027365</v>
      </c>
      <c r="CU75" s="6">
        <f t="shared" si="38"/>
        <v>0.52364590379027365</v>
      </c>
      <c r="CV75" s="6">
        <f t="shared" si="38"/>
        <v>0.52364590379027365</v>
      </c>
      <c r="CW75" s="6">
        <f t="shared" si="38"/>
        <v>0.52364590379027365</v>
      </c>
      <c r="CX75" s="6">
        <f t="shared" si="38"/>
        <v>0.52364590379027365</v>
      </c>
      <c r="CY75" s="6">
        <f t="shared" si="38"/>
        <v>0.52364590379027365</v>
      </c>
      <c r="CZ75" s="6">
        <f t="shared" si="38"/>
        <v>0.52364590379027365</v>
      </c>
      <c r="DB75" s="24"/>
      <c r="DC75" s="4">
        <v>9.6666666666666679E-2</v>
      </c>
      <c r="DD75" s="6">
        <f t="shared" ref="DD75:DS98" si="45">(DD76*$B$22-AN75)/($B$21-$B$22*BV76)</f>
        <v>142.90622886291791</v>
      </c>
      <c r="DE75" s="6">
        <f t="shared" si="39"/>
        <v>74.832261616127042</v>
      </c>
      <c r="DF75" s="6">
        <f t="shared" si="39"/>
        <v>39.185607736324535</v>
      </c>
      <c r="DG75" s="6">
        <f t="shared" si="39"/>
        <v>20.519383875596002</v>
      </c>
      <c r="DH75" s="6">
        <f t="shared" si="39"/>
        <v>10.744893027625738</v>
      </c>
      <c r="DI75" s="6">
        <f t="shared" si="39"/>
        <v>5.6265224916266305</v>
      </c>
      <c r="DJ75" s="6">
        <f t="shared" si="39"/>
        <v>2.9463117019990643</v>
      </c>
      <c r="DK75" s="6">
        <f t="shared" si="39"/>
        <v>1.5428359832377607</v>
      </c>
      <c r="DL75" s="6">
        <f t="shared" si="39"/>
        <v>0.8079225238794876</v>
      </c>
      <c r="DM75" s="6">
        <f t="shared" si="39"/>
        <v>0.42310882486899193</v>
      </c>
      <c r="DN75" s="6">
        <f t="shared" si="39"/>
        <v>0.22164228330172633</v>
      </c>
      <c r="DO75" s="6">
        <f t="shared" si="39"/>
        <v>0.11622073116520881</v>
      </c>
      <c r="DP75" s="6">
        <f t="shared" si="39"/>
        <v>6.1161495866948482E-2</v>
      </c>
      <c r="DQ75" s="6">
        <f t="shared" si="39"/>
        <v>3.2605575444365785E-2</v>
      </c>
      <c r="DR75" s="6">
        <f t="shared" si="39"/>
        <v>1.8178737714341607E-2</v>
      </c>
      <c r="DS75" s="6">
        <f t="shared" si="39"/>
        <v>1.1629352993865454E-2</v>
      </c>
      <c r="DT75" s="6">
        <f t="shared" si="39"/>
        <v>1.0119354570731003E-2</v>
      </c>
      <c r="DU75" s="6">
        <f t="shared" si="39"/>
        <v>1.2994409794913319E-2</v>
      </c>
      <c r="DV75" s="6">
        <f t="shared" si="39"/>
        <v>2.150037593022474E-2</v>
      </c>
      <c r="DW75" s="6">
        <f t="shared" si="39"/>
        <v>3.9323171635300226E-2</v>
      </c>
      <c r="DX75" s="6">
        <f t="shared" si="39"/>
        <v>7.4186008382339144E-2</v>
      </c>
      <c r="DY75" s="6">
        <f t="shared" si="39"/>
        <v>0.14119611542839169</v>
      </c>
      <c r="DZ75" s="6">
        <f t="shared" si="39"/>
        <v>0.26939120582674736</v>
      </c>
      <c r="EA75" s="6">
        <f t="shared" si="39"/>
        <v>0.51432248541669334</v>
      </c>
      <c r="EB75" s="6">
        <f t="shared" si="39"/>
        <v>0.9821268420205399</v>
      </c>
      <c r="EC75" s="6">
        <f t="shared" si="39"/>
        <v>1.8755194968332871</v>
      </c>
      <c r="ED75" s="6">
        <f t="shared" si="39"/>
        <v>3.5816372669404588</v>
      </c>
      <c r="EE75" s="6">
        <f t="shared" si="39"/>
        <v>6.8397978527218299</v>
      </c>
      <c r="EF75" s="6">
        <f t="shared" si="39"/>
        <v>13.061870841349329</v>
      </c>
      <c r="EG75" s="6">
        <f t="shared" si="39"/>
        <v>24.944087861228205</v>
      </c>
      <c r="EH75" s="6">
        <f t="shared" si="39"/>
        <v>47.635409620972645</v>
      </c>
    </row>
    <row r="76" spans="5:138">
      <c r="E76" s="26"/>
      <c r="F76" s="4">
        <v>9.3333333333333338E-2</v>
      </c>
      <c r="G76" s="6">
        <f t="shared" si="40"/>
        <v>300</v>
      </c>
      <c r="H76" s="6">
        <f t="shared" ref="H76:K91" si="46">BW76*H75+DE76</f>
        <v>157.09377165338856</v>
      </c>
      <c r="I76" s="6">
        <f t="shared" si="41"/>
        <v>82.261511023245461</v>
      </c>
      <c r="J76" s="6">
        <f t="shared" si="41"/>
        <v>43.075905169842073</v>
      </c>
      <c r="K76" s="6">
        <f t="shared" si="41"/>
        <v>22.556524890036926</v>
      </c>
      <c r="L76" s="6">
        <f t="shared" si="41"/>
        <v>11.811638729247786</v>
      </c>
      <c r="M76" s="6">
        <f t="shared" si="41"/>
        <v>6.1851293511326908</v>
      </c>
      <c r="N76" s="6">
        <f t="shared" si="41"/>
        <v>3.2388426918417643</v>
      </c>
      <c r="O76" s="6">
        <f t="shared" si="41"/>
        <v>1.6960545323489362</v>
      </c>
      <c r="P76" s="6">
        <f t="shared" si="41"/>
        <v>0.8882233368739797</v>
      </c>
      <c r="Q76" s="6">
        <f t="shared" si="41"/>
        <v>0.46528892071108169</v>
      </c>
      <c r="R76" s="6">
        <f t="shared" si="41"/>
        <v>0.24397970352298565</v>
      </c>
      <c r="S76" s="6">
        <f t="shared" si="41"/>
        <v>0.12839502452818347</v>
      </c>
      <c r="T76" s="6">
        <f t="shared" si="41"/>
        <v>6.8448189495594045E-2</v>
      </c>
      <c r="U76" s="6">
        <f t="shared" si="41"/>
        <v>3.8162236577762063E-2</v>
      </c>
      <c r="V76" s="6">
        <f t="shared" si="41"/>
        <v>2.4413252843626963E-2</v>
      </c>
      <c r="W76" s="6">
        <f t="shared" si="41"/>
        <v>2.1243345341730224E-2</v>
      </c>
      <c r="X76" s="6">
        <f t="shared" si="41"/>
        <v>2.7278887487916591E-2</v>
      </c>
      <c r="Y76" s="6">
        <f t="shared" si="41"/>
        <v>4.5135280878866799E-2</v>
      </c>
      <c r="Z76" s="6">
        <f t="shared" si="41"/>
        <v>8.2550295983992661E-2</v>
      </c>
      <c r="AA76" s="6">
        <f t="shared" si="41"/>
        <v>0.15573710601551533</v>
      </c>
      <c r="AB76" s="6">
        <f t="shared" si="41"/>
        <v>0.296409995320428</v>
      </c>
      <c r="AC76" s="6">
        <f t="shared" si="41"/>
        <v>0.56552721593085953</v>
      </c>
      <c r="AD76" s="6">
        <f t="shared" si="41"/>
        <v>1.0797062301113298</v>
      </c>
      <c r="AE76" s="6">
        <f t="shared" si="41"/>
        <v>2.0617579440067098</v>
      </c>
      <c r="AF76" s="6">
        <f t="shared" si="41"/>
        <v>3.9372381003049979</v>
      </c>
      <c r="AG76" s="6">
        <f t="shared" si="41"/>
        <v>7.5188547667354513</v>
      </c>
      <c r="AH76" s="6">
        <f t="shared" si="41"/>
        <v>14.358641832084601</v>
      </c>
      <c r="AI76" s="6">
        <f t="shared" si="41"/>
        <v>27.420507024670414</v>
      </c>
      <c r="AJ76" s="6">
        <f t="shared" si="41"/>
        <v>52.364591927946748</v>
      </c>
      <c r="AK76" s="6">
        <f t="shared" si="42"/>
        <v>100</v>
      </c>
      <c r="AL76" s="24"/>
      <c r="AM76" s="4">
        <v>9.3333333333333338E-2</v>
      </c>
      <c r="AN76" s="6">
        <f t="shared" si="43"/>
        <v>-538200000</v>
      </c>
      <c r="AO76" s="6">
        <f t="shared" si="37"/>
        <v>-281826226.34617907</v>
      </c>
      <c r="AP76" s="6">
        <f t="shared" si="37"/>
        <v>-147577150.77570233</v>
      </c>
      <c r="AQ76" s="6">
        <f t="shared" si="37"/>
        <v>-77278173.874696672</v>
      </c>
      <c r="AR76" s="6">
        <f t="shared" si="37"/>
        <v>-40466405.65272624</v>
      </c>
      <c r="AS76" s="6">
        <f t="shared" si="37"/>
        <v>-21190079.880270526</v>
      </c>
      <c r="AT76" s="6">
        <f t="shared" si="37"/>
        <v>-11096122.055932045</v>
      </c>
      <c r="AU76" s="6">
        <f t="shared" si="37"/>
        <v>-5810483.7891641241</v>
      </c>
      <c r="AV76" s="6">
        <f t="shared" si="37"/>
        <v>-3042721.8310339907</v>
      </c>
      <c r="AW76" s="6">
        <f t="shared" si="37"/>
        <v>-1593472.6663519195</v>
      </c>
      <c r="AX76" s="6">
        <f t="shared" si="37"/>
        <v>-834728.32375568047</v>
      </c>
      <c r="AY76" s="6">
        <f t="shared" si="37"/>
        <v>-437699.58812023624</v>
      </c>
      <c r="AZ76" s="6">
        <f t="shared" si="37"/>
        <v>-230340.67400356109</v>
      </c>
      <c r="BA76" s="6">
        <f t="shared" si="37"/>
        <v>-122796.0519550957</v>
      </c>
      <c r="BB76" s="6">
        <f t="shared" si="37"/>
        <v>-68463.052420505119</v>
      </c>
      <c r="BC76" s="6">
        <f t="shared" si="37"/>
        <v>-43797.375601466774</v>
      </c>
      <c r="BD76" s="6">
        <f t="shared" si="37"/>
        <v>-38110.561543064025</v>
      </c>
      <c r="BE76" s="6">
        <f t="shared" si="37"/>
        <v>-48938.324153322355</v>
      </c>
      <c r="BF76" s="6">
        <f t="shared" si="37"/>
        <v>-80972.693896687037</v>
      </c>
      <c r="BG76" s="6">
        <f t="shared" si="37"/>
        <v>-148095.23099528282</v>
      </c>
      <c r="BH76" s="6">
        <f t="shared" si="37"/>
        <v>-279392.36819183442</v>
      </c>
      <c r="BI76" s="6">
        <f t="shared" si="37"/>
        <v>-531759.53160484775</v>
      </c>
      <c r="BJ76" s="6">
        <f t="shared" si="37"/>
        <v>-1014555.8253799618</v>
      </c>
      <c r="BK76" s="6">
        <f t="shared" si="37"/>
        <v>-1936992.9768197257</v>
      </c>
      <c r="BL76" s="6">
        <f t="shared" si="37"/>
        <v>-3698793.7515480374</v>
      </c>
      <c r="BM76" s="6">
        <f t="shared" si="37"/>
        <v>-7063405.1519471649</v>
      </c>
      <c r="BN76" s="6">
        <f t="shared" si="37"/>
        <v>-13488825.451523397</v>
      </c>
      <c r="BO76" s="6">
        <f t="shared" si="37"/>
        <v>-25759403.446759775</v>
      </c>
      <c r="BP76" s="6">
        <f t="shared" si="37"/>
        <v>-49192389.60225872</v>
      </c>
      <c r="BQ76" s="6">
        <f t="shared" si="37"/>
        <v>-93942077.918736458</v>
      </c>
      <c r="BR76" s="6">
        <f t="shared" si="37"/>
        <v>-179400000</v>
      </c>
      <c r="BT76" s="24"/>
      <c r="BU76" s="4">
        <v>9.3333333333333338E-2</v>
      </c>
      <c r="BV76" s="6">
        <f t="shared" si="44"/>
        <v>0.52364590379027376</v>
      </c>
      <c r="BW76" s="6">
        <f t="shared" si="44"/>
        <v>0.52364590379027376</v>
      </c>
      <c r="BX76" s="6">
        <f t="shared" si="38"/>
        <v>0.52364590379027376</v>
      </c>
      <c r="BY76" s="6">
        <f t="shared" si="38"/>
        <v>0.52364590379027376</v>
      </c>
      <c r="BZ76" s="6">
        <f t="shared" si="38"/>
        <v>0.52364590379027376</v>
      </c>
      <c r="CA76" s="6">
        <f t="shared" si="38"/>
        <v>0.52364590379027376</v>
      </c>
      <c r="CB76" s="6">
        <f t="shared" si="38"/>
        <v>0.52364590379027376</v>
      </c>
      <c r="CC76" s="6">
        <f t="shared" si="38"/>
        <v>0.52364590379027376</v>
      </c>
      <c r="CD76" s="6">
        <f t="shared" si="38"/>
        <v>0.52364590379027376</v>
      </c>
      <c r="CE76" s="6">
        <f t="shared" si="38"/>
        <v>0.52364590379027376</v>
      </c>
      <c r="CF76" s="6">
        <f t="shared" si="38"/>
        <v>0.52364590379027376</v>
      </c>
      <c r="CG76" s="6">
        <f t="shared" si="38"/>
        <v>0.52364590379027376</v>
      </c>
      <c r="CH76" s="6">
        <f t="shared" si="38"/>
        <v>0.52364590379027376</v>
      </c>
      <c r="CI76" s="6">
        <f t="shared" si="38"/>
        <v>0.52364590379027376</v>
      </c>
      <c r="CJ76" s="6">
        <f t="shared" si="38"/>
        <v>0.52364590379027376</v>
      </c>
      <c r="CK76" s="6">
        <f t="shared" si="38"/>
        <v>0.52364590379027376</v>
      </c>
      <c r="CL76" s="6">
        <f t="shared" si="38"/>
        <v>0.52364590379027376</v>
      </c>
      <c r="CM76" s="6">
        <f t="shared" si="38"/>
        <v>0.52364590379027376</v>
      </c>
      <c r="CN76" s="6">
        <f t="shared" si="38"/>
        <v>0.52364590379027376</v>
      </c>
      <c r="CO76" s="6">
        <f t="shared" si="38"/>
        <v>0.52364590379027376</v>
      </c>
      <c r="CP76" s="6">
        <f t="shared" si="38"/>
        <v>0.52364590379027376</v>
      </c>
      <c r="CQ76" s="6">
        <f t="shared" si="38"/>
        <v>0.52364590379027376</v>
      </c>
      <c r="CR76" s="6">
        <f t="shared" si="38"/>
        <v>0.52364590379027376</v>
      </c>
      <c r="CS76" s="6">
        <f t="shared" si="38"/>
        <v>0.52364590379027376</v>
      </c>
      <c r="CT76" s="6">
        <f t="shared" si="38"/>
        <v>0.52364590379027376</v>
      </c>
      <c r="CU76" s="6">
        <f t="shared" si="38"/>
        <v>0.52364590379027376</v>
      </c>
      <c r="CV76" s="6">
        <f t="shared" si="38"/>
        <v>0.52364590379027376</v>
      </c>
      <c r="CW76" s="6">
        <f t="shared" si="38"/>
        <v>0.52364590379027376</v>
      </c>
      <c r="CX76" s="6">
        <f t="shared" si="38"/>
        <v>0.52364590379027376</v>
      </c>
      <c r="CY76" s="6">
        <f t="shared" si="38"/>
        <v>0.52364590379027376</v>
      </c>
      <c r="CZ76" s="6">
        <f t="shared" si="38"/>
        <v>0.52364590379027376</v>
      </c>
      <c r="DB76" s="24"/>
      <c r="DC76" s="4">
        <v>9.3333333333333338E-2</v>
      </c>
      <c r="DD76" s="6">
        <f t="shared" si="45"/>
        <v>142.90622886291786</v>
      </c>
      <c r="DE76" s="6">
        <f t="shared" si="39"/>
        <v>74.832261616127013</v>
      </c>
      <c r="DF76" s="6">
        <f t="shared" si="39"/>
        <v>39.185607736324528</v>
      </c>
      <c r="DG76" s="6">
        <f t="shared" si="39"/>
        <v>20.519383875595995</v>
      </c>
      <c r="DH76" s="6">
        <f t="shared" si="39"/>
        <v>10.744893027625734</v>
      </c>
      <c r="DI76" s="6">
        <f t="shared" si="39"/>
        <v>5.6265224916266288</v>
      </c>
      <c r="DJ76" s="6">
        <f t="shared" si="39"/>
        <v>2.946311701999063</v>
      </c>
      <c r="DK76" s="6">
        <f t="shared" si="39"/>
        <v>1.5428359832377605</v>
      </c>
      <c r="DL76" s="6">
        <f t="shared" si="39"/>
        <v>0.80792252387948738</v>
      </c>
      <c r="DM76" s="6">
        <f t="shared" si="39"/>
        <v>0.42310882486899182</v>
      </c>
      <c r="DN76" s="6">
        <f t="shared" si="39"/>
        <v>0.22164228330172628</v>
      </c>
      <c r="DO76" s="6">
        <f t="shared" si="39"/>
        <v>0.11622073116520878</v>
      </c>
      <c r="DP76" s="6">
        <f t="shared" si="39"/>
        <v>6.1161495866948461E-2</v>
      </c>
      <c r="DQ76" s="6">
        <f t="shared" si="39"/>
        <v>3.2605575444365778E-2</v>
      </c>
      <c r="DR76" s="6">
        <f t="shared" si="39"/>
        <v>1.81787377143416E-2</v>
      </c>
      <c r="DS76" s="6">
        <f t="shared" si="39"/>
        <v>1.1629352993865453E-2</v>
      </c>
      <c r="DT76" s="6">
        <f t="shared" si="39"/>
        <v>1.0119354570730999E-2</v>
      </c>
      <c r="DU76" s="6">
        <f t="shared" si="39"/>
        <v>1.2994409794913316E-2</v>
      </c>
      <c r="DV76" s="6">
        <f t="shared" si="39"/>
        <v>2.1500375930224729E-2</v>
      </c>
      <c r="DW76" s="6">
        <f t="shared" si="39"/>
        <v>3.9323171635300219E-2</v>
      </c>
      <c r="DX76" s="6">
        <f t="shared" si="39"/>
        <v>7.4186008382339116E-2</v>
      </c>
      <c r="DY76" s="6">
        <f t="shared" si="39"/>
        <v>0.14119611542839164</v>
      </c>
      <c r="DZ76" s="6">
        <f t="shared" si="39"/>
        <v>0.26939120582674725</v>
      </c>
      <c r="EA76" s="6">
        <f t="shared" si="39"/>
        <v>0.51432248541669323</v>
      </c>
      <c r="EB76" s="6">
        <f t="shared" si="39"/>
        <v>0.98212684202053968</v>
      </c>
      <c r="EC76" s="6">
        <f t="shared" si="39"/>
        <v>1.8755194968332867</v>
      </c>
      <c r="ED76" s="6">
        <f t="shared" si="39"/>
        <v>3.5816372669404575</v>
      </c>
      <c r="EE76" s="6">
        <f t="shared" si="39"/>
        <v>6.8397978527218282</v>
      </c>
      <c r="EF76" s="6">
        <f t="shared" si="39"/>
        <v>13.061870841349325</v>
      </c>
      <c r="EG76" s="6">
        <f t="shared" si="39"/>
        <v>24.944087861228201</v>
      </c>
      <c r="EH76" s="6">
        <f t="shared" si="39"/>
        <v>47.635409620972631</v>
      </c>
    </row>
    <row r="77" spans="5:138">
      <c r="E77" s="26"/>
      <c r="F77" s="4">
        <v>9.0000000000000011E-2</v>
      </c>
      <c r="G77" s="6">
        <f t="shared" si="40"/>
        <v>300</v>
      </c>
      <c r="H77" s="6">
        <f t="shared" si="46"/>
        <v>157.09377165338856</v>
      </c>
      <c r="I77" s="6">
        <f t="shared" si="41"/>
        <v>82.261511023245447</v>
      </c>
      <c r="J77" s="6">
        <f t="shared" si="41"/>
        <v>43.075905169842073</v>
      </c>
      <c r="K77" s="6">
        <f t="shared" si="41"/>
        <v>22.556524890036926</v>
      </c>
      <c r="L77" s="6">
        <f t="shared" si="41"/>
        <v>11.811638729247786</v>
      </c>
      <c r="M77" s="6">
        <f t="shared" si="41"/>
        <v>6.1851293511326908</v>
      </c>
      <c r="N77" s="6">
        <f t="shared" si="41"/>
        <v>3.2388426918417643</v>
      </c>
      <c r="O77" s="6">
        <f t="shared" si="41"/>
        <v>1.6960545323489362</v>
      </c>
      <c r="P77" s="6">
        <f t="shared" si="41"/>
        <v>0.8882233368739797</v>
      </c>
      <c r="Q77" s="6">
        <f t="shared" si="41"/>
        <v>0.46528892071108163</v>
      </c>
      <c r="R77" s="6">
        <f t="shared" si="41"/>
        <v>0.24397970352298565</v>
      </c>
      <c r="S77" s="6">
        <f t="shared" si="41"/>
        <v>0.12839502452818344</v>
      </c>
      <c r="T77" s="6">
        <f t="shared" si="41"/>
        <v>6.8448189495594031E-2</v>
      </c>
      <c r="U77" s="6">
        <f t="shared" si="41"/>
        <v>3.8162236577762056E-2</v>
      </c>
      <c r="V77" s="6">
        <f t="shared" si="41"/>
        <v>2.4413252843626963E-2</v>
      </c>
      <c r="W77" s="6">
        <f t="shared" si="41"/>
        <v>2.1243345341730224E-2</v>
      </c>
      <c r="X77" s="6">
        <f t="shared" si="41"/>
        <v>2.7278887487916591E-2</v>
      </c>
      <c r="Y77" s="6">
        <f t="shared" si="41"/>
        <v>4.5135280878866792E-2</v>
      </c>
      <c r="Z77" s="6">
        <f t="shared" si="41"/>
        <v>8.2550295983992661E-2</v>
      </c>
      <c r="AA77" s="6">
        <f t="shared" si="41"/>
        <v>0.1557371060155153</v>
      </c>
      <c r="AB77" s="6">
        <f t="shared" si="41"/>
        <v>0.296409995320428</v>
      </c>
      <c r="AC77" s="6">
        <f t="shared" si="41"/>
        <v>0.56552721593085953</v>
      </c>
      <c r="AD77" s="6">
        <f t="shared" si="41"/>
        <v>1.0797062301113298</v>
      </c>
      <c r="AE77" s="6">
        <f t="shared" si="41"/>
        <v>2.0617579440067098</v>
      </c>
      <c r="AF77" s="6">
        <f t="shared" si="41"/>
        <v>3.9372381003049979</v>
      </c>
      <c r="AG77" s="6">
        <f t="shared" si="41"/>
        <v>7.5188547667354513</v>
      </c>
      <c r="AH77" s="6">
        <f t="shared" si="41"/>
        <v>14.358641832084601</v>
      </c>
      <c r="AI77" s="6">
        <f t="shared" si="41"/>
        <v>27.420507024670414</v>
      </c>
      <c r="AJ77" s="6">
        <f t="shared" si="41"/>
        <v>52.364591927946748</v>
      </c>
      <c r="AK77" s="6">
        <f t="shared" si="42"/>
        <v>100</v>
      </c>
      <c r="AL77" s="24"/>
      <c r="AM77" s="4">
        <v>9.0000000000000011E-2</v>
      </c>
      <c r="AN77" s="6">
        <f t="shared" si="43"/>
        <v>-538200000</v>
      </c>
      <c r="AO77" s="6">
        <f t="shared" si="37"/>
        <v>-281826226.34617907</v>
      </c>
      <c r="AP77" s="6">
        <f t="shared" si="37"/>
        <v>-147577150.77570233</v>
      </c>
      <c r="AQ77" s="6">
        <f t="shared" si="37"/>
        <v>-77278173.874696672</v>
      </c>
      <c r="AR77" s="6">
        <f t="shared" si="37"/>
        <v>-40466405.65272624</v>
      </c>
      <c r="AS77" s="6">
        <f t="shared" si="37"/>
        <v>-21190079.880270526</v>
      </c>
      <c r="AT77" s="6">
        <f t="shared" si="37"/>
        <v>-11096122.055932045</v>
      </c>
      <c r="AU77" s="6">
        <f t="shared" si="37"/>
        <v>-5810483.7891641241</v>
      </c>
      <c r="AV77" s="6">
        <f t="shared" si="37"/>
        <v>-3042721.8310339907</v>
      </c>
      <c r="AW77" s="6">
        <f t="shared" si="37"/>
        <v>-1593472.6663519195</v>
      </c>
      <c r="AX77" s="6">
        <f t="shared" si="37"/>
        <v>-834728.32375568047</v>
      </c>
      <c r="AY77" s="6">
        <f t="shared" si="37"/>
        <v>-437699.58812023624</v>
      </c>
      <c r="AZ77" s="6">
        <f t="shared" si="37"/>
        <v>-230340.67400356109</v>
      </c>
      <c r="BA77" s="6">
        <f t="shared" si="37"/>
        <v>-122796.0519550957</v>
      </c>
      <c r="BB77" s="6">
        <f t="shared" si="37"/>
        <v>-68463.052420505119</v>
      </c>
      <c r="BC77" s="6">
        <f t="shared" si="37"/>
        <v>-43797.375601466774</v>
      </c>
      <c r="BD77" s="6">
        <f t="shared" si="37"/>
        <v>-38110.561543064025</v>
      </c>
      <c r="BE77" s="6">
        <f t="shared" si="37"/>
        <v>-48938.324153322355</v>
      </c>
      <c r="BF77" s="6">
        <f t="shared" si="37"/>
        <v>-80972.693896687037</v>
      </c>
      <c r="BG77" s="6">
        <f t="shared" si="37"/>
        <v>-148095.23099528282</v>
      </c>
      <c r="BH77" s="6">
        <f t="shared" si="37"/>
        <v>-279392.36819183442</v>
      </c>
      <c r="BI77" s="6">
        <f t="shared" si="37"/>
        <v>-531759.53160484775</v>
      </c>
      <c r="BJ77" s="6">
        <f t="shared" si="37"/>
        <v>-1014555.8253799618</v>
      </c>
      <c r="BK77" s="6">
        <f t="shared" si="37"/>
        <v>-1936992.9768197257</v>
      </c>
      <c r="BL77" s="6">
        <f t="shared" si="37"/>
        <v>-3698793.7515480374</v>
      </c>
      <c r="BM77" s="6">
        <f t="shared" si="37"/>
        <v>-7063405.1519471649</v>
      </c>
      <c r="BN77" s="6">
        <f t="shared" si="37"/>
        <v>-13488825.451523397</v>
      </c>
      <c r="BO77" s="6">
        <f t="shared" si="37"/>
        <v>-25759403.446759775</v>
      </c>
      <c r="BP77" s="6">
        <f t="shared" si="37"/>
        <v>-49192389.60225872</v>
      </c>
      <c r="BQ77" s="6">
        <f t="shared" si="37"/>
        <v>-93942077.918736458</v>
      </c>
      <c r="BR77" s="6">
        <f t="shared" si="37"/>
        <v>-179400000</v>
      </c>
      <c r="BT77" s="24"/>
      <c r="BU77" s="4">
        <v>9.0000000000000011E-2</v>
      </c>
      <c r="BV77" s="6">
        <f t="shared" si="44"/>
        <v>0.52364590379027409</v>
      </c>
      <c r="BW77" s="6">
        <f t="shared" si="44"/>
        <v>0.52364590379027409</v>
      </c>
      <c r="BX77" s="6">
        <f t="shared" si="38"/>
        <v>0.52364590379027409</v>
      </c>
      <c r="BY77" s="6">
        <f t="shared" si="38"/>
        <v>0.52364590379027409</v>
      </c>
      <c r="BZ77" s="6">
        <f t="shared" si="38"/>
        <v>0.52364590379027409</v>
      </c>
      <c r="CA77" s="6">
        <f t="shared" si="38"/>
        <v>0.52364590379027409</v>
      </c>
      <c r="CB77" s="6">
        <f t="shared" si="38"/>
        <v>0.52364590379027409</v>
      </c>
      <c r="CC77" s="6">
        <f t="shared" si="38"/>
        <v>0.52364590379027409</v>
      </c>
      <c r="CD77" s="6">
        <f t="shared" si="38"/>
        <v>0.52364590379027409</v>
      </c>
      <c r="CE77" s="6">
        <f t="shared" si="38"/>
        <v>0.52364590379027409</v>
      </c>
      <c r="CF77" s="6">
        <f t="shared" si="38"/>
        <v>0.52364590379027409</v>
      </c>
      <c r="CG77" s="6">
        <f t="shared" si="38"/>
        <v>0.52364590379027409</v>
      </c>
      <c r="CH77" s="6">
        <f t="shared" si="38"/>
        <v>0.52364590379027409</v>
      </c>
      <c r="CI77" s="6">
        <f t="shared" si="38"/>
        <v>0.52364590379027409</v>
      </c>
      <c r="CJ77" s="6">
        <f t="shared" si="38"/>
        <v>0.52364590379027409</v>
      </c>
      <c r="CK77" s="6">
        <f t="shared" si="38"/>
        <v>0.52364590379027409</v>
      </c>
      <c r="CL77" s="6">
        <f t="shared" si="38"/>
        <v>0.52364590379027409</v>
      </c>
      <c r="CM77" s="6">
        <f t="shared" si="38"/>
        <v>0.52364590379027409</v>
      </c>
      <c r="CN77" s="6">
        <f t="shared" si="38"/>
        <v>0.52364590379027409</v>
      </c>
      <c r="CO77" s="6">
        <f t="shared" si="38"/>
        <v>0.52364590379027409</v>
      </c>
      <c r="CP77" s="6">
        <f t="shared" si="38"/>
        <v>0.52364590379027409</v>
      </c>
      <c r="CQ77" s="6">
        <f t="shared" si="38"/>
        <v>0.52364590379027409</v>
      </c>
      <c r="CR77" s="6">
        <f t="shared" si="38"/>
        <v>0.52364590379027409</v>
      </c>
      <c r="CS77" s="6">
        <f t="shared" si="38"/>
        <v>0.52364590379027409</v>
      </c>
      <c r="CT77" s="6">
        <f t="shared" si="38"/>
        <v>0.52364590379027409</v>
      </c>
      <c r="CU77" s="6">
        <f t="shared" si="38"/>
        <v>0.52364590379027409</v>
      </c>
      <c r="CV77" s="6">
        <f t="shared" si="38"/>
        <v>0.52364590379027409</v>
      </c>
      <c r="CW77" s="6">
        <f t="shared" si="38"/>
        <v>0.52364590379027409</v>
      </c>
      <c r="CX77" s="6">
        <f t="shared" si="38"/>
        <v>0.52364590379027409</v>
      </c>
      <c r="CY77" s="6">
        <f t="shared" si="38"/>
        <v>0.52364590379027409</v>
      </c>
      <c r="CZ77" s="6">
        <f t="shared" si="38"/>
        <v>0.52364590379027409</v>
      </c>
      <c r="DB77" s="24"/>
      <c r="DC77" s="4">
        <v>9.0000000000000011E-2</v>
      </c>
      <c r="DD77" s="6">
        <f t="shared" si="45"/>
        <v>142.90622886291777</v>
      </c>
      <c r="DE77" s="6">
        <f t="shared" si="39"/>
        <v>74.832261616126956</v>
      </c>
      <c r="DF77" s="6">
        <f t="shared" si="39"/>
        <v>39.185607736324492</v>
      </c>
      <c r="DG77" s="6">
        <f t="shared" si="39"/>
        <v>20.519383875595977</v>
      </c>
      <c r="DH77" s="6">
        <f t="shared" si="39"/>
        <v>10.744893027625725</v>
      </c>
      <c r="DI77" s="6">
        <f t="shared" si="39"/>
        <v>5.6265224916266243</v>
      </c>
      <c r="DJ77" s="6">
        <f t="shared" si="39"/>
        <v>2.9463117019990608</v>
      </c>
      <c r="DK77" s="6">
        <f t="shared" si="39"/>
        <v>1.5428359832377594</v>
      </c>
      <c r="DL77" s="6">
        <f t="shared" si="39"/>
        <v>0.80792252387948671</v>
      </c>
      <c r="DM77" s="6">
        <f t="shared" si="39"/>
        <v>0.42310882486899148</v>
      </c>
      <c r="DN77" s="6">
        <f t="shared" si="39"/>
        <v>0.22164228330172611</v>
      </c>
      <c r="DO77" s="6">
        <f t="shared" si="39"/>
        <v>0.11622073116520869</v>
      </c>
      <c r="DP77" s="6">
        <f t="shared" si="39"/>
        <v>6.1161495866948405E-2</v>
      </c>
      <c r="DQ77" s="6">
        <f t="shared" si="39"/>
        <v>3.260557544436575E-2</v>
      </c>
      <c r="DR77" s="6">
        <f t="shared" si="39"/>
        <v>1.8178737714341583E-2</v>
      </c>
      <c r="DS77" s="6">
        <f t="shared" si="39"/>
        <v>1.1629352993865442E-2</v>
      </c>
      <c r="DT77" s="6">
        <f t="shared" si="39"/>
        <v>1.0119354570730991E-2</v>
      </c>
      <c r="DU77" s="6">
        <f t="shared" si="39"/>
        <v>1.2994409794913307E-2</v>
      </c>
      <c r="DV77" s="6">
        <f t="shared" si="39"/>
        <v>2.1500375930224712E-2</v>
      </c>
      <c r="DW77" s="6">
        <f t="shared" si="39"/>
        <v>3.9323171635300185E-2</v>
      </c>
      <c r="DX77" s="6">
        <f t="shared" si="39"/>
        <v>7.4186008382339047E-2</v>
      </c>
      <c r="DY77" s="6">
        <f t="shared" si="39"/>
        <v>0.14119611542839153</v>
      </c>
      <c r="DZ77" s="6">
        <f t="shared" si="39"/>
        <v>0.26939120582674708</v>
      </c>
      <c r="EA77" s="6">
        <f t="shared" si="39"/>
        <v>0.5143224854166929</v>
      </c>
      <c r="EB77" s="6">
        <f t="shared" si="39"/>
        <v>0.98212684202053901</v>
      </c>
      <c r="EC77" s="6">
        <f t="shared" si="39"/>
        <v>1.8755194968332851</v>
      </c>
      <c r="ED77" s="6">
        <f t="shared" si="39"/>
        <v>3.5816372669404548</v>
      </c>
      <c r="EE77" s="6">
        <f t="shared" si="39"/>
        <v>6.8397978527218228</v>
      </c>
      <c r="EF77" s="6">
        <f t="shared" si="39"/>
        <v>13.061870841349315</v>
      </c>
      <c r="EG77" s="6">
        <f t="shared" si="39"/>
        <v>24.94408786122818</v>
      </c>
      <c r="EH77" s="6">
        <f t="shared" si="39"/>
        <v>47.635409620972595</v>
      </c>
    </row>
    <row r="78" spans="5:138">
      <c r="E78" s="26"/>
      <c r="F78" s="4">
        <v>8.666666666666667E-2</v>
      </c>
      <c r="G78" s="6">
        <f t="shared" si="40"/>
        <v>300</v>
      </c>
      <c r="H78" s="6">
        <f t="shared" si="46"/>
        <v>157.09377165338856</v>
      </c>
      <c r="I78" s="6">
        <f t="shared" si="41"/>
        <v>82.261511023245447</v>
      </c>
      <c r="J78" s="6">
        <f t="shared" si="41"/>
        <v>43.075905169842073</v>
      </c>
      <c r="K78" s="6">
        <f t="shared" si="41"/>
        <v>22.556524890036926</v>
      </c>
      <c r="L78" s="6">
        <f t="shared" si="41"/>
        <v>11.811638729247786</v>
      </c>
      <c r="M78" s="6">
        <f t="shared" si="41"/>
        <v>6.1851293511326908</v>
      </c>
      <c r="N78" s="6">
        <f t="shared" si="41"/>
        <v>3.2388426918417643</v>
      </c>
      <c r="O78" s="6">
        <f t="shared" si="41"/>
        <v>1.6960545323489362</v>
      </c>
      <c r="P78" s="6">
        <f t="shared" si="41"/>
        <v>0.88822333687397981</v>
      </c>
      <c r="Q78" s="6">
        <f t="shared" si="41"/>
        <v>0.46528892071108163</v>
      </c>
      <c r="R78" s="6">
        <f t="shared" si="41"/>
        <v>0.24397970352298565</v>
      </c>
      <c r="S78" s="6">
        <f t="shared" si="41"/>
        <v>0.12839502452818344</v>
      </c>
      <c r="T78" s="6">
        <f t="shared" si="41"/>
        <v>6.8448189495594031E-2</v>
      </c>
      <c r="U78" s="6">
        <f t="shared" si="41"/>
        <v>3.8162236577762056E-2</v>
      </c>
      <c r="V78" s="6">
        <f t="shared" si="41"/>
        <v>2.4413252843626963E-2</v>
      </c>
      <c r="W78" s="6">
        <f t="shared" si="41"/>
        <v>2.1243345341730224E-2</v>
      </c>
      <c r="X78" s="6">
        <f t="shared" si="41"/>
        <v>2.7278887487916591E-2</v>
      </c>
      <c r="Y78" s="6">
        <f t="shared" si="41"/>
        <v>4.5135280878866799E-2</v>
      </c>
      <c r="Z78" s="6">
        <f t="shared" si="41"/>
        <v>8.2550295983992661E-2</v>
      </c>
      <c r="AA78" s="6">
        <f t="shared" si="41"/>
        <v>0.1557371060155153</v>
      </c>
      <c r="AB78" s="6">
        <f t="shared" si="41"/>
        <v>0.296409995320428</v>
      </c>
      <c r="AC78" s="6">
        <f t="shared" si="41"/>
        <v>0.56552721593085953</v>
      </c>
      <c r="AD78" s="6">
        <f t="shared" si="41"/>
        <v>1.0797062301113298</v>
      </c>
      <c r="AE78" s="6">
        <f t="shared" si="41"/>
        <v>2.0617579440067102</v>
      </c>
      <c r="AF78" s="6">
        <f t="shared" si="41"/>
        <v>3.9372381003049979</v>
      </c>
      <c r="AG78" s="6">
        <f t="shared" si="41"/>
        <v>7.5188547667354513</v>
      </c>
      <c r="AH78" s="6">
        <f t="shared" si="41"/>
        <v>14.358641832084601</v>
      </c>
      <c r="AI78" s="6">
        <f t="shared" si="41"/>
        <v>27.420507024670414</v>
      </c>
      <c r="AJ78" s="6">
        <f t="shared" si="41"/>
        <v>52.364591927946748</v>
      </c>
      <c r="AK78" s="6">
        <f t="shared" si="42"/>
        <v>100</v>
      </c>
      <c r="AL78" s="24"/>
      <c r="AM78" s="4">
        <v>8.666666666666667E-2</v>
      </c>
      <c r="AN78" s="6">
        <f t="shared" si="43"/>
        <v>-538200000</v>
      </c>
      <c r="AO78" s="6">
        <f t="shared" si="37"/>
        <v>-281826226.34617907</v>
      </c>
      <c r="AP78" s="6">
        <f t="shared" si="37"/>
        <v>-147577150.77570233</v>
      </c>
      <c r="AQ78" s="6">
        <f t="shared" si="37"/>
        <v>-77278173.874696672</v>
      </c>
      <c r="AR78" s="6">
        <f t="shared" si="37"/>
        <v>-40466405.65272624</v>
      </c>
      <c r="AS78" s="6">
        <f t="shared" si="37"/>
        <v>-21190079.880270526</v>
      </c>
      <c r="AT78" s="6">
        <f t="shared" si="37"/>
        <v>-11096122.055932045</v>
      </c>
      <c r="AU78" s="6">
        <f t="shared" si="37"/>
        <v>-5810483.7891641241</v>
      </c>
      <c r="AV78" s="6">
        <f t="shared" si="37"/>
        <v>-3042721.8310339907</v>
      </c>
      <c r="AW78" s="6">
        <f t="shared" si="37"/>
        <v>-1593472.6663519195</v>
      </c>
      <c r="AX78" s="6">
        <f t="shared" si="37"/>
        <v>-834728.32375568047</v>
      </c>
      <c r="AY78" s="6">
        <f t="shared" si="37"/>
        <v>-437699.58812023624</v>
      </c>
      <c r="AZ78" s="6">
        <f t="shared" si="37"/>
        <v>-230340.67400356109</v>
      </c>
      <c r="BA78" s="6">
        <f t="shared" si="37"/>
        <v>-122796.0519550957</v>
      </c>
      <c r="BB78" s="6">
        <f t="shared" si="37"/>
        <v>-68463.052420505119</v>
      </c>
      <c r="BC78" s="6">
        <f t="shared" si="37"/>
        <v>-43797.375601466774</v>
      </c>
      <c r="BD78" s="6">
        <f t="shared" si="37"/>
        <v>-38110.561543064025</v>
      </c>
      <c r="BE78" s="6">
        <f t="shared" si="37"/>
        <v>-48938.324153322355</v>
      </c>
      <c r="BF78" s="6">
        <f t="shared" si="37"/>
        <v>-80972.693896687037</v>
      </c>
      <c r="BG78" s="6">
        <f t="shared" si="37"/>
        <v>-148095.23099528282</v>
      </c>
      <c r="BH78" s="6">
        <f t="shared" si="37"/>
        <v>-279392.36819183442</v>
      </c>
      <c r="BI78" s="6">
        <f t="shared" si="37"/>
        <v>-531759.53160484775</v>
      </c>
      <c r="BJ78" s="6">
        <f t="shared" si="37"/>
        <v>-1014555.8253799618</v>
      </c>
      <c r="BK78" s="6">
        <f t="shared" si="37"/>
        <v>-1936992.9768197257</v>
      </c>
      <c r="BL78" s="6">
        <f t="shared" si="37"/>
        <v>-3698793.7515480374</v>
      </c>
      <c r="BM78" s="6">
        <f t="shared" si="37"/>
        <v>-7063405.1519471649</v>
      </c>
      <c r="BN78" s="6">
        <f t="shared" si="37"/>
        <v>-13488825.451523397</v>
      </c>
      <c r="BO78" s="6">
        <f t="shared" si="37"/>
        <v>-25759403.446759775</v>
      </c>
      <c r="BP78" s="6">
        <f t="shared" si="37"/>
        <v>-49192389.60225872</v>
      </c>
      <c r="BQ78" s="6">
        <f t="shared" si="37"/>
        <v>-93942077.918736458</v>
      </c>
      <c r="BR78" s="6">
        <f t="shared" si="37"/>
        <v>-179400000</v>
      </c>
      <c r="BT78" s="24"/>
      <c r="BU78" s="4">
        <v>8.666666666666667E-2</v>
      </c>
      <c r="BV78" s="6">
        <f t="shared" si="44"/>
        <v>0.52364590379027542</v>
      </c>
      <c r="BW78" s="6">
        <f t="shared" si="44"/>
        <v>0.52364590379027542</v>
      </c>
      <c r="BX78" s="6">
        <f t="shared" si="38"/>
        <v>0.52364590379027542</v>
      </c>
      <c r="BY78" s="6">
        <f t="shared" si="38"/>
        <v>0.52364590379027542</v>
      </c>
      <c r="BZ78" s="6">
        <f t="shared" si="38"/>
        <v>0.52364590379027542</v>
      </c>
      <c r="CA78" s="6">
        <f t="shared" si="38"/>
        <v>0.52364590379027542</v>
      </c>
      <c r="CB78" s="6">
        <f t="shared" si="38"/>
        <v>0.52364590379027542</v>
      </c>
      <c r="CC78" s="6">
        <f t="shared" si="38"/>
        <v>0.52364590379027542</v>
      </c>
      <c r="CD78" s="6">
        <f t="shared" si="38"/>
        <v>0.52364590379027542</v>
      </c>
      <c r="CE78" s="6">
        <f t="shared" si="38"/>
        <v>0.52364590379027542</v>
      </c>
      <c r="CF78" s="6">
        <f t="shared" si="38"/>
        <v>0.52364590379027542</v>
      </c>
      <c r="CG78" s="6">
        <f t="shared" si="38"/>
        <v>0.52364590379027542</v>
      </c>
      <c r="CH78" s="6">
        <f t="shared" si="38"/>
        <v>0.52364590379027542</v>
      </c>
      <c r="CI78" s="6">
        <f t="shared" si="38"/>
        <v>0.52364590379027542</v>
      </c>
      <c r="CJ78" s="6">
        <f t="shared" si="38"/>
        <v>0.52364590379027542</v>
      </c>
      <c r="CK78" s="6">
        <f t="shared" si="38"/>
        <v>0.52364590379027542</v>
      </c>
      <c r="CL78" s="6">
        <f t="shared" si="38"/>
        <v>0.52364590379027542</v>
      </c>
      <c r="CM78" s="6">
        <f t="shared" si="38"/>
        <v>0.52364590379027542</v>
      </c>
      <c r="CN78" s="6">
        <f t="shared" si="38"/>
        <v>0.52364590379027542</v>
      </c>
      <c r="CO78" s="6">
        <f t="shared" si="38"/>
        <v>0.52364590379027542</v>
      </c>
      <c r="CP78" s="6">
        <f t="shared" si="38"/>
        <v>0.52364590379027542</v>
      </c>
      <c r="CQ78" s="6">
        <f t="shared" si="38"/>
        <v>0.52364590379027542</v>
      </c>
      <c r="CR78" s="6">
        <f t="shared" si="38"/>
        <v>0.52364590379027542</v>
      </c>
      <c r="CS78" s="6">
        <f t="shared" si="38"/>
        <v>0.52364590379027542</v>
      </c>
      <c r="CT78" s="6">
        <f t="shared" si="38"/>
        <v>0.52364590379027542</v>
      </c>
      <c r="CU78" s="6">
        <f t="shared" si="38"/>
        <v>0.52364590379027542</v>
      </c>
      <c r="CV78" s="6">
        <f t="shared" si="38"/>
        <v>0.52364590379027542</v>
      </c>
      <c r="CW78" s="6">
        <f t="shared" si="38"/>
        <v>0.52364590379027542</v>
      </c>
      <c r="CX78" s="6">
        <f t="shared" si="38"/>
        <v>0.52364590379027542</v>
      </c>
      <c r="CY78" s="6">
        <f t="shared" si="38"/>
        <v>0.52364590379027542</v>
      </c>
      <c r="CZ78" s="6">
        <f t="shared" si="38"/>
        <v>0.52364590379027542</v>
      </c>
      <c r="DB78" s="24"/>
      <c r="DC78" s="4">
        <v>8.666666666666667E-2</v>
      </c>
      <c r="DD78" s="6">
        <f t="shared" si="45"/>
        <v>142.90622886291743</v>
      </c>
      <c r="DE78" s="6">
        <f t="shared" si="39"/>
        <v>74.832261616126758</v>
      </c>
      <c r="DF78" s="6">
        <f t="shared" si="39"/>
        <v>39.185607736324378</v>
      </c>
      <c r="DG78" s="6">
        <f t="shared" si="39"/>
        <v>20.519383875595924</v>
      </c>
      <c r="DH78" s="6">
        <f t="shared" si="39"/>
        <v>10.744893027625697</v>
      </c>
      <c r="DI78" s="6">
        <f t="shared" si="39"/>
        <v>5.6265224916266101</v>
      </c>
      <c r="DJ78" s="6">
        <f t="shared" si="39"/>
        <v>2.9463117019990532</v>
      </c>
      <c r="DK78" s="6">
        <f t="shared" si="39"/>
        <v>1.5428359832377554</v>
      </c>
      <c r="DL78" s="6">
        <f t="shared" si="39"/>
        <v>0.8079225238794846</v>
      </c>
      <c r="DM78" s="6">
        <f t="shared" si="39"/>
        <v>0.42310882486899043</v>
      </c>
      <c r="DN78" s="6">
        <f t="shared" si="39"/>
        <v>0.22164228330172553</v>
      </c>
      <c r="DO78" s="6">
        <f t="shared" si="39"/>
        <v>0.11622073116520838</v>
      </c>
      <c r="DP78" s="6">
        <f t="shared" si="39"/>
        <v>6.1161495866948253E-2</v>
      </c>
      <c r="DQ78" s="6">
        <f t="shared" si="39"/>
        <v>3.2605575444365667E-2</v>
      </c>
      <c r="DR78" s="6">
        <f t="shared" si="39"/>
        <v>1.8178737714341538E-2</v>
      </c>
      <c r="DS78" s="6">
        <f t="shared" si="39"/>
        <v>1.1629352993865413E-2</v>
      </c>
      <c r="DT78" s="6">
        <f t="shared" si="39"/>
        <v>1.0119354570730965E-2</v>
      </c>
      <c r="DU78" s="6">
        <f t="shared" si="39"/>
        <v>1.2994409794913273E-2</v>
      </c>
      <c r="DV78" s="6">
        <f t="shared" si="39"/>
        <v>2.1500375930224656E-2</v>
      </c>
      <c r="DW78" s="6">
        <f t="shared" si="39"/>
        <v>3.932317163530008E-2</v>
      </c>
      <c r="DX78" s="6">
        <f t="shared" si="39"/>
        <v>7.4186008382338853E-2</v>
      </c>
      <c r="DY78" s="6">
        <f t="shared" si="39"/>
        <v>0.14119611542839117</v>
      </c>
      <c r="DZ78" s="6">
        <f t="shared" si="39"/>
        <v>0.26939120582674636</v>
      </c>
      <c r="EA78" s="6">
        <f t="shared" si="39"/>
        <v>0.51432248541669157</v>
      </c>
      <c r="EB78" s="6">
        <f t="shared" si="39"/>
        <v>0.98212684202053646</v>
      </c>
      <c r="EC78" s="6">
        <f t="shared" si="39"/>
        <v>1.87551949683328</v>
      </c>
      <c r="ED78" s="6">
        <f t="shared" si="39"/>
        <v>3.5816372669404455</v>
      </c>
      <c r="EE78" s="6">
        <f t="shared" si="39"/>
        <v>6.8397978527218051</v>
      </c>
      <c r="EF78" s="6">
        <f t="shared" si="39"/>
        <v>13.061870841349281</v>
      </c>
      <c r="EG78" s="6">
        <f t="shared" si="39"/>
        <v>24.944087861228116</v>
      </c>
      <c r="EH78" s="6">
        <f t="shared" si="39"/>
        <v>47.635409620972467</v>
      </c>
    </row>
    <row r="79" spans="5:138">
      <c r="E79" s="26"/>
      <c r="F79" s="4">
        <v>8.3333333333333343E-2</v>
      </c>
      <c r="G79" s="6">
        <f t="shared" si="40"/>
        <v>300</v>
      </c>
      <c r="H79" s="6">
        <f t="shared" si="46"/>
        <v>157.09377165338856</v>
      </c>
      <c r="I79" s="6">
        <f t="shared" si="41"/>
        <v>82.261511023245447</v>
      </c>
      <c r="J79" s="6">
        <f t="shared" si="41"/>
        <v>43.075905169842073</v>
      </c>
      <c r="K79" s="6">
        <f t="shared" si="41"/>
        <v>22.556524890036926</v>
      </c>
      <c r="L79" s="6">
        <f t="shared" si="41"/>
        <v>11.811638729247786</v>
      </c>
      <c r="M79" s="6">
        <f t="shared" si="41"/>
        <v>6.1851293511326908</v>
      </c>
      <c r="N79" s="6">
        <f t="shared" si="41"/>
        <v>3.2388426918417643</v>
      </c>
      <c r="O79" s="6">
        <f t="shared" si="41"/>
        <v>1.696054532348936</v>
      </c>
      <c r="P79" s="6">
        <f t="shared" si="41"/>
        <v>0.88822333687397981</v>
      </c>
      <c r="Q79" s="6">
        <f t="shared" si="41"/>
        <v>0.46528892071108163</v>
      </c>
      <c r="R79" s="6">
        <f t="shared" si="41"/>
        <v>0.24397970352298562</v>
      </c>
      <c r="S79" s="6">
        <f t="shared" si="41"/>
        <v>0.12839502452818344</v>
      </c>
      <c r="T79" s="6">
        <f t="shared" si="41"/>
        <v>6.8448189495594031E-2</v>
      </c>
      <c r="U79" s="6">
        <f t="shared" si="41"/>
        <v>3.8162236577762063E-2</v>
      </c>
      <c r="V79" s="6">
        <f t="shared" si="41"/>
        <v>2.4413252843626963E-2</v>
      </c>
      <c r="W79" s="6">
        <f t="shared" si="41"/>
        <v>2.1243345341730224E-2</v>
      </c>
      <c r="X79" s="6">
        <f t="shared" si="41"/>
        <v>2.7278887487916591E-2</v>
      </c>
      <c r="Y79" s="6">
        <f t="shared" si="41"/>
        <v>4.5135280878866799E-2</v>
      </c>
      <c r="Z79" s="6">
        <f t="shared" si="41"/>
        <v>8.2550295983992661E-2</v>
      </c>
      <c r="AA79" s="6">
        <f t="shared" si="41"/>
        <v>0.15573710601551527</v>
      </c>
      <c r="AB79" s="6">
        <f t="shared" si="41"/>
        <v>0.296409995320428</v>
      </c>
      <c r="AC79" s="6">
        <f t="shared" si="41"/>
        <v>0.56552721593085953</v>
      </c>
      <c r="AD79" s="6">
        <f t="shared" si="41"/>
        <v>1.0797062301113298</v>
      </c>
      <c r="AE79" s="6">
        <f t="shared" si="41"/>
        <v>2.0617579440067102</v>
      </c>
      <c r="AF79" s="6">
        <f t="shared" si="41"/>
        <v>3.9372381003049979</v>
      </c>
      <c r="AG79" s="6">
        <f t="shared" si="41"/>
        <v>7.5188547667354513</v>
      </c>
      <c r="AH79" s="6">
        <f t="shared" si="41"/>
        <v>14.358641832084601</v>
      </c>
      <c r="AI79" s="6">
        <f t="shared" si="41"/>
        <v>27.420507024670414</v>
      </c>
      <c r="AJ79" s="6">
        <f t="shared" si="41"/>
        <v>52.364591927946748</v>
      </c>
      <c r="AK79" s="6">
        <f t="shared" si="42"/>
        <v>100</v>
      </c>
      <c r="AL79" s="24"/>
      <c r="AM79" s="4">
        <v>8.3333333333333343E-2</v>
      </c>
      <c r="AN79" s="6">
        <f t="shared" si="43"/>
        <v>-538200000</v>
      </c>
      <c r="AO79" s="6">
        <f t="shared" si="37"/>
        <v>-281826226.34617907</v>
      </c>
      <c r="AP79" s="6">
        <f t="shared" si="37"/>
        <v>-147577150.77570233</v>
      </c>
      <c r="AQ79" s="6">
        <f t="shared" si="37"/>
        <v>-77278173.874696672</v>
      </c>
      <c r="AR79" s="6">
        <f t="shared" si="37"/>
        <v>-40466405.65272624</v>
      </c>
      <c r="AS79" s="6">
        <f t="shared" si="37"/>
        <v>-21190079.880270526</v>
      </c>
      <c r="AT79" s="6">
        <f t="shared" si="37"/>
        <v>-11096122.055932045</v>
      </c>
      <c r="AU79" s="6">
        <f t="shared" si="37"/>
        <v>-5810483.7891641241</v>
      </c>
      <c r="AV79" s="6">
        <f t="shared" si="37"/>
        <v>-3042721.8310339907</v>
      </c>
      <c r="AW79" s="6">
        <f t="shared" si="37"/>
        <v>-1593472.6663519195</v>
      </c>
      <c r="AX79" s="6">
        <f t="shared" si="37"/>
        <v>-834728.32375568047</v>
      </c>
      <c r="AY79" s="6">
        <f t="shared" si="37"/>
        <v>-437699.58812023624</v>
      </c>
      <c r="AZ79" s="6">
        <f t="shared" si="37"/>
        <v>-230340.67400356109</v>
      </c>
      <c r="BA79" s="6">
        <f t="shared" si="37"/>
        <v>-122796.0519550957</v>
      </c>
      <c r="BB79" s="6">
        <f t="shared" si="37"/>
        <v>-68463.052420505119</v>
      </c>
      <c r="BC79" s="6">
        <f t="shared" si="37"/>
        <v>-43797.375601466774</v>
      </c>
      <c r="BD79" s="6">
        <f t="shared" si="37"/>
        <v>-38110.561543064025</v>
      </c>
      <c r="BE79" s="6">
        <f t="shared" si="37"/>
        <v>-48938.324153322355</v>
      </c>
      <c r="BF79" s="6">
        <f t="shared" si="37"/>
        <v>-80972.693896687037</v>
      </c>
      <c r="BG79" s="6">
        <f t="shared" si="37"/>
        <v>-148095.23099528282</v>
      </c>
      <c r="BH79" s="6">
        <f t="shared" si="37"/>
        <v>-279392.36819183442</v>
      </c>
      <c r="BI79" s="6">
        <f t="shared" si="37"/>
        <v>-531759.53160484775</v>
      </c>
      <c r="BJ79" s="6">
        <f t="shared" si="37"/>
        <v>-1014555.8253799618</v>
      </c>
      <c r="BK79" s="6">
        <f t="shared" si="37"/>
        <v>-1936992.9768197257</v>
      </c>
      <c r="BL79" s="6">
        <f t="shared" si="37"/>
        <v>-3698793.7515480374</v>
      </c>
      <c r="BM79" s="6">
        <f t="shared" si="37"/>
        <v>-7063405.1519471649</v>
      </c>
      <c r="BN79" s="6">
        <f t="shared" si="37"/>
        <v>-13488825.451523397</v>
      </c>
      <c r="BO79" s="6">
        <f t="shared" si="37"/>
        <v>-25759403.446759775</v>
      </c>
      <c r="BP79" s="6">
        <f t="shared" si="37"/>
        <v>-49192389.60225872</v>
      </c>
      <c r="BQ79" s="6">
        <f t="shared" si="37"/>
        <v>-93942077.918736458</v>
      </c>
      <c r="BR79" s="6">
        <f t="shared" si="37"/>
        <v>-179400000</v>
      </c>
      <c r="BT79" s="24"/>
      <c r="BU79" s="4">
        <v>8.3333333333333343E-2</v>
      </c>
      <c r="BV79" s="6">
        <f t="shared" si="44"/>
        <v>0.52364590379028009</v>
      </c>
      <c r="BW79" s="6">
        <f t="shared" si="44"/>
        <v>0.52364590379028009</v>
      </c>
      <c r="BX79" s="6">
        <f t="shared" si="38"/>
        <v>0.52364590379028009</v>
      </c>
      <c r="BY79" s="6">
        <f t="shared" si="38"/>
        <v>0.52364590379028009</v>
      </c>
      <c r="BZ79" s="6">
        <f t="shared" si="38"/>
        <v>0.52364590379028009</v>
      </c>
      <c r="CA79" s="6">
        <f t="shared" si="38"/>
        <v>0.52364590379028009</v>
      </c>
      <c r="CB79" s="6">
        <f t="shared" si="38"/>
        <v>0.52364590379028009</v>
      </c>
      <c r="CC79" s="6">
        <f t="shared" si="38"/>
        <v>0.52364590379028009</v>
      </c>
      <c r="CD79" s="6">
        <f t="shared" si="38"/>
        <v>0.52364590379028009</v>
      </c>
      <c r="CE79" s="6">
        <f t="shared" si="38"/>
        <v>0.52364590379028009</v>
      </c>
      <c r="CF79" s="6">
        <f t="shared" si="38"/>
        <v>0.52364590379028009</v>
      </c>
      <c r="CG79" s="6">
        <f t="shared" si="38"/>
        <v>0.52364590379028009</v>
      </c>
      <c r="CH79" s="6">
        <f t="shared" si="38"/>
        <v>0.52364590379028009</v>
      </c>
      <c r="CI79" s="6">
        <f t="shared" si="38"/>
        <v>0.52364590379028009</v>
      </c>
      <c r="CJ79" s="6">
        <f t="shared" si="38"/>
        <v>0.52364590379028009</v>
      </c>
      <c r="CK79" s="6">
        <f t="shared" si="38"/>
        <v>0.52364590379028009</v>
      </c>
      <c r="CL79" s="6">
        <f t="shared" si="38"/>
        <v>0.52364590379028009</v>
      </c>
      <c r="CM79" s="6">
        <f t="shared" si="38"/>
        <v>0.52364590379028009</v>
      </c>
      <c r="CN79" s="6">
        <f t="shared" si="38"/>
        <v>0.52364590379028009</v>
      </c>
      <c r="CO79" s="6">
        <f t="shared" si="38"/>
        <v>0.52364590379028009</v>
      </c>
      <c r="CP79" s="6">
        <f t="shared" si="38"/>
        <v>0.52364590379028009</v>
      </c>
      <c r="CQ79" s="6">
        <f t="shared" si="38"/>
        <v>0.52364590379028009</v>
      </c>
      <c r="CR79" s="6">
        <f t="shared" si="38"/>
        <v>0.52364590379028009</v>
      </c>
      <c r="CS79" s="6">
        <f t="shared" si="38"/>
        <v>0.52364590379028009</v>
      </c>
      <c r="CT79" s="6">
        <f t="shared" si="38"/>
        <v>0.52364590379028009</v>
      </c>
      <c r="CU79" s="6">
        <f t="shared" si="38"/>
        <v>0.52364590379028009</v>
      </c>
      <c r="CV79" s="6">
        <f t="shared" si="38"/>
        <v>0.52364590379028009</v>
      </c>
      <c r="CW79" s="6">
        <f t="shared" si="38"/>
        <v>0.52364590379028009</v>
      </c>
      <c r="CX79" s="6">
        <f t="shared" si="38"/>
        <v>0.52364590379028009</v>
      </c>
      <c r="CY79" s="6">
        <f t="shared" si="38"/>
        <v>0.52364590379028009</v>
      </c>
      <c r="CZ79" s="6">
        <f t="shared" si="38"/>
        <v>0.52364590379028009</v>
      </c>
      <c r="DB79" s="24"/>
      <c r="DC79" s="4">
        <v>8.3333333333333343E-2</v>
      </c>
      <c r="DD79" s="6">
        <f t="shared" si="45"/>
        <v>142.90622886291598</v>
      </c>
      <c r="DE79" s="6">
        <f t="shared" si="39"/>
        <v>74.832261616126019</v>
      </c>
      <c r="DF79" s="6">
        <f t="shared" si="39"/>
        <v>39.185607736323995</v>
      </c>
      <c r="DG79" s="6">
        <f t="shared" si="39"/>
        <v>20.519383875595725</v>
      </c>
      <c r="DH79" s="6">
        <f t="shared" si="39"/>
        <v>10.744893027625592</v>
      </c>
      <c r="DI79" s="6">
        <f t="shared" si="39"/>
        <v>5.6265224916265542</v>
      </c>
      <c r="DJ79" s="6">
        <f t="shared" si="39"/>
        <v>2.9463117019990239</v>
      </c>
      <c r="DK79" s="6">
        <f t="shared" si="39"/>
        <v>1.5428359832377398</v>
      </c>
      <c r="DL79" s="6">
        <f t="shared" si="39"/>
        <v>0.8079225238794765</v>
      </c>
      <c r="DM79" s="6">
        <f t="shared" si="39"/>
        <v>0.42310882486898621</v>
      </c>
      <c r="DN79" s="6">
        <f t="shared" si="39"/>
        <v>0.22164228330172331</v>
      </c>
      <c r="DO79" s="6">
        <f t="shared" si="39"/>
        <v>0.11622073116520723</v>
      </c>
      <c r="DP79" s="6">
        <f t="shared" si="39"/>
        <v>6.1161495866947642E-2</v>
      </c>
      <c r="DQ79" s="6">
        <f t="shared" si="39"/>
        <v>3.2605575444365341E-2</v>
      </c>
      <c r="DR79" s="6">
        <f t="shared" si="39"/>
        <v>1.8178737714341361E-2</v>
      </c>
      <c r="DS79" s="6">
        <f t="shared" si="39"/>
        <v>1.1629352993865298E-2</v>
      </c>
      <c r="DT79" s="6">
        <f t="shared" si="39"/>
        <v>1.0119354570730864E-2</v>
      </c>
      <c r="DU79" s="6">
        <f t="shared" si="39"/>
        <v>1.2994409794913144E-2</v>
      </c>
      <c r="DV79" s="6">
        <f t="shared" si="39"/>
        <v>2.1500375930224445E-2</v>
      </c>
      <c r="DW79" s="6">
        <f t="shared" si="39"/>
        <v>3.9323171635299692E-2</v>
      </c>
      <c r="DX79" s="6">
        <f t="shared" si="39"/>
        <v>7.4186008382338103E-2</v>
      </c>
      <c r="DY79" s="6">
        <f t="shared" si="39"/>
        <v>0.14119611542838981</v>
      </c>
      <c r="DZ79" s="6">
        <f t="shared" si="39"/>
        <v>0.26939120582674364</v>
      </c>
      <c r="EA79" s="6">
        <f t="shared" si="39"/>
        <v>0.51432248541668646</v>
      </c>
      <c r="EB79" s="6">
        <f t="shared" si="39"/>
        <v>0.98212684202052669</v>
      </c>
      <c r="EC79" s="6">
        <f t="shared" si="39"/>
        <v>1.8755194968332616</v>
      </c>
      <c r="ED79" s="6">
        <f t="shared" si="39"/>
        <v>3.58163726694041</v>
      </c>
      <c r="EE79" s="6">
        <f t="shared" si="39"/>
        <v>6.8397978527217376</v>
      </c>
      <c r="EF79" s="6">
        <f t="shared" si="39"/>
        <v>13.061870841349151</v>
      </c>
      <c r="EG79" s="6">
        <f t="shared" si="39"/>
        <v>24.944087861227871</v>
      </c>
      <c r="EH79" s="6">
        <f t="shared" si="39"/>
        <v>47.635409620971998</v>
      </c>
    </row>
    <row r="80" spans="5:138">
      <c r="E80" s="26"/>
      <c r="F80" s="4">
        <v>0.08</v>
      </c>
      <c r="G80" s="6">
        <f t="shared" si="40"/>
        <v>300</v>
      </c>
      <c r="H80" s="6">
        <f t="shared" si="46"/>
        <v>157.09377165338856</v>
      </c>
      <c r="I80" s="6">
        <f t="shared" si="41"/>
        <v>82.261511023245447</v>
      </c>
      <c r="J80" s="6">
        <f t="shared" si="41"/>
        <v>43.075905169842073</v>
      </c>
      <c r="K80" s="6">
        <f t="shared" si="41"/>
        <v>22.556524890036926</v>
      </c>
      <c r="L80" s="6">
        <f t="shared" si="41"/>
        <v>11.811638729247786</v>
      </c>
      <c r="M80" s="6">
        <f t="shared" si="41"/>
        <v>6.1851293511326908</v>
      </c>
      <c r="N80" s="6">
        <f t="shared" si="41"/>
        <v>3.2388426918417643</v>
      </c>
      <c r="O80" s="6">
        <f t="shared" si="41"/>
        <v>1.696054532348936</v>
      </c>
      <c r="P80" s="6">
        <f t="shared" si="41"/>
        <v>0.88822333687397981</v>
      </c>
      <c r="Q80" s="6">
        <f t="shared" si="41"/>
        <v>0.46528892071108163</v>
      </c>
      <c r="R80" s="6">
        <f t="shared" si="41"/>
        <v>0.24397970352298565</v>
      </c>
      <c r="S80" s="6">
        <f t="shared" si="41"/>
        <v>0.12839502452818347</v>
      </c>
      <c r="T80" s="6">
        <f t="shared" si="41"/>
        <v>6.8448189495594031E-2</v>
      </c>
      <c r="U80" s="6">
        <f t="shared" si="41"/>
        <v>3.8162236577762063E-2</v>
      </c>
      <c r="V80" s="6">
        <f t="shared" si="41"/>
        <v>2.4413252843626963E-2</v>
      </c>
      <c r="W80" s="6">
        <f t="shared" si="41"/>
        <v>2.1243345341730224E-2</v>
      </c>
      <c r="X80" s="6">
        <f t="shared" si="41"/>
        <v>2.7278887487916591E-2</v>
      </c>
      <c r="Y80" s="6">
        <f t="shared" si="41"/>
        <v>4.5135280878866799E-2</v>
      </c>
      <c r="Z80" s="6">
        <f t="shared" si="41"/>
        <v>8.2550295983992661E-2</v>
      </c>
      <c r="AA80" s="6">
        <f t="shared" si="41"/>
        <v>0.15573710601551527</v>
      </c>
      <c r="AB80" s="6">
        <f t="shared" si="41"/>
        <v>0.296409995320428</v>
      </c>
      <c r="AC80" s="6">
        <f t="shared" si="41"/>
        <v>0.56552721593085953</v>
      </c>
      <c r="AD80" s="6">
        <f t="shared" si="41"/>
        <v>1.0797062301113298</v>
      </c>
      <c r="AE80" s="6">
        <f t="shared" si="41"/>
        <v>2.0617579440067102</v>
      </c>
      <c r="AF80" s="6">
        <f t="shared" si="41"/>
        <v>3.9372381003049979</v>
      </c>
      <c r="AG80" s="6">
        <f t="shared" si="41"/>
        <v>7.5188547667354513</v>
      </c>
      <c r="AH80" s="6">
        <f t="shared" si="41"/>
        <v>14.358641832084603</v>
      </c>
      <c r="AI80" s="6">
        <f t="shared" si="41"/>
        <v>27.420507024670414</v>
      </c>
      <c r="AJ80" s="6">
        <f t="shared" si="41"/>
        <v>52.364591927946755</v>
      </c>
      <c r="AK80" s="6">
        <f t="shared" si="42"/>
        <v>100</v>
      </c>
      <c r="AL80" s="24"/>
      <c r="AM80" s="4">
        <v>0.08</v>
      </c>
      <c r="AN80" s="6">
        <f t="shared" si="43"/>
        <v>-538200000</v>
      </c>
      <c r="AO80" s="6">
        <f t="shared" si="37"/>
        <v>-281826226.34617907</v>
      </c>
      <c r="AP80" s="6">
        <f t="shared" si="37"/>
        <v>-147577150.77570233</v>
      </c>
      <c r="AQ80" s="6">
        <f t="shared" si="37"/>
        <v>-77278173.874696672</v>
      </c>
      <c r="AR80" s="6">
        <f t="shared" si="37"/>
        <v>-40466405.65272624</v>
      </c>
      <c r="AS80" s="6">
        <f t="shared" si="37"/>
        <v>-21190079.880270526</v>
      </c>
      <c r="AT80" s="6">
        <f t="shared" si="37"/>
        <v>-11096122.055932045</v>
      </c>
      <c r="AU80" s="6">
        <f t="shared" si="37"/>
        <v>-5810483.7891641241</v>
      </c>
      <c r="AV80" s="6">
        <f t="shared" si="37"/>
        <v>-3042721.8310339907</v>
      </c>
      <c r="AW80" s="6">
        <f t="shared" si="37"/>
        <v>-1593472.6663519195</v>
      </c>
      <c r="AX80" s="6">
        <f t="shared" si="37"/>
        <v>-834728.32375568047</v>
      </c>
      <c r="AY80" s="6">
        <f t="shared" si="37"/>
        <v>-437699.58812023624</v>
      </c>
      <c r="AZ80" s="6">
        <f t="shared" si="37"/>
        <v>-230340.67400356109</v>
      </c>
      <c r="BA80" s="6">
        <f t="shared" si="37"/>
        <v>-122796.0519550957</v>
      </c>
      <c r="BB80" s="6">
        <f t="shared" si="37"/>
        <v>-68463.052420505119</v>
      </c>
      <c r="BC80" s="6">
        <f t="shared" si="37"/>
        <v>-43797.375601466774</v>
      </c>
      <c r="BD80" s="6">
        <f t="shared" si="37"/>
        <v>-38110.561543064025</v>
      </c>
      <c r="BE80" s="6">
        <f t="shared" si="37"/>
        <v>-48938.324153322355</v>
      </c>
      <c r="BF80" s="6">
        <f t="shared" si="37"/>
        <v>-80972.693896687037</v>
      </c>
      <c r="BG80" s="6">
        <f t="shared" si="37"/>
        <v>-148095.23099528282</v>
      </c>
      <c r="BH80" s="6">
        <f t="shared" si="37"/>
        <v>-279392.36819183442</v>
      </c>
      <c r="BI80" s="6">
        <f t="shared" si="37"/>
        <v>-531759.53160484775</v>
      </c>
      <c r="BJ80" s="6">
        <f t="shared" si="37"/>
        <v>-1014555.8253799618</v>
      </c>
      <c r="BK80" s="6">
        <f t="shared" si="37"/>
        <v>-1936992.9768197257</v>
      </c>
      <c r="BL80" s="6">
        <f t="shared" si="37"/>
        <v>-3698793.7515480374</v>
      </c>
      <c r="BM80" s="6">
        <f t="shared" si="37"/>
        <v>-7063405.1519471649</v>
      </c>
      <c r="BN80" s="6">
        <f t="shared" si="37"/>
        <v>-13488825.451523397</v>
      </c>
      <c r="BO80" s="6">
        <f t="shared" si="37"/>
        <v>-25759403.446759775</v>
      </c>
      <c r="BP80" s="6">
        <f t="shared" si="37"/>
        <v>-49192389.60225872</v>
      </c>
      <c r="BQ80" s="6">
        <f t="shared" si="37"/>
        <v>-93942077.918736458</v>
      </c>
      <c r="BR80" s="6">
        <f t="shared" si="37"/>
        <v>-179400000</v>
      </c>
      <c r="BT80" s="24"/>
      <c r="BU80" s="4">
        <v>0.08</v>
      </c>
      <c r="BV80" s="6">
        <f t="shared" si="44"/>
        <v>0.5236459037902973</v>
      </c>
      <c r="BW80" s="6">
        <f t="shared" si="44"/>
        <v>0.5236459037902973</v>
      </c>
      <c r="BX80" s="6">
        <f t="shared" si="38"/>
        <v>0.5236459037902973</v>
      </c>
      <c r="BY80" s="6">
        <f t="shared" si="38"/>
        <v>0.5236459037902973</v>
      </c>
      <c r="BZ80" s="6">
        <f t="shared" si="38"/>
        <v>0.5236459037902973</v>
      </c>
      <c r="CA80" s="6">
        <f t="shared" si="38"/>
        <v>0.5236459037902973</v>
      </c>
      <c r="CB80" s="6">
        <f t="shared" si="38"/>
        <v>0.5236459037902973</v>
      </c>
      <c r="CC80" s="6">
        <f t="shared" si="38"/>
        <v>0.5236459037902973</v>
      </c>
      <c r="CD80" s="6">
        <f t="shared" si="38"/>
        <v>0.5236459037902973</v>
      </c>
      <c r="CE80" s="6">
        <f t="shared" si="38"/>
        <v>0.5236459037902973</v>
      </c>
      <c r="CF80" s="6">
        <f t="shared" si="38"/>
        <v>0.5236459037902973</v>
      </c>
      <c r="CG80" s="6">
        <f t="shared" si="38"/>
        <v>0.5236459037902973</v>
      </c>
      <c r="CH80" s="6">
        <f t="shared" si="38"/>
        <v>0.5236459037902973</v>
      </c>
      <c r="CI80" s="6">
        <f t="shared" si="38"/>
        <v>0.5236459037902973</v>
      </c>
      <c r="CJ80" s="6">
        <f t="shared" si="38"/>
        <v>0.5236459037902973</v>
      </c>
      <c r="CK80" s="6">
        <f t="shared" si="38"/>
        <v>0.5236459037902973</v>
      </c>
      <c r="CL80" s="6">
        <f t="shared" si="38"/>
        <v>0.5236459037902973</v>
      </c>
      <c r="CM80" s="6">
        <f t="shared" si="38"/>
        <v>0.5236459037902973</v>
      </c>
      <c r="CN80" s="6">
        <f t="shared" si="38"/>
        <v>0.5236459037902973</v>
      </c>
      <c r="CO80" s="6">
        <f t="shared" si="38"/>
        <v>0.5236459037902973</v>
      </c>
      <c r="CP80" s="6">
        <f t="shared" si="38"/>
        <v>0.5236459037902973</v>
      </c>
      <c r="CQ80" s="6">
        <f t="shared" si="38"/>
        <v>0.5236459037902973</v>
      </c>
      <c r="CR80" s="6">
        <f t="shared" si="38"/>
        <v>0.5236459037902973</v>
      </c>
      <c r="CS80" s="6">
        <f t="shared" si="38"/>
        <v>0.5236459037902973</v>
      </c>
      <c r="CT80" s="6">
        <f t="shared" si="38"/>
        <v>0.5236459037902973</v>
      </c>
      <c r="CU80" s="6">
        <f t="shared" si="38"/>
        <v>0.5236459037902973</v>
      </c>
      <c r="CV80" s="6">
        <f t="shared" si="38"/>
        <v>0.5236459037902973</v>
      </c>
      <c r="CW80" s="6">
        <f t="shared" si="38"/>
        <v>0.5236459037902973</v>
      </c>
      <c r="CX80" s="6">
        <f t="shared" si="38"/>
        <v>0.5236459037902973</v>
      </c>
      <c r="CY80" s="6">
        <f t="shared" si="38"/>
        <v>0.5236459037902973</v>
      </c>
      <c r="CZ80" s="6">
        <f t="shared" si="38"/>
        <v>0.5236459037902973</v>
      </c>
      <c r="DB80" s="24"/>
      <c r="DC80" s="4">
        <v>0.08</v>
      </c>
      <c r="DD80" s="6">
        <f t="shared" si="45"/>
        <v>142.90622886291084</v>
      </c>
      <c r="DE80" s="6">
        <f t="shared" si="39"/>
        <v>74.832261616123319</v>
      </c>
      <c r="DF80" s="6">
        <f t="shared" si="39"/>
        <v>39.185607736322581</v>
      </c>
      <c r="DG80" s="6">
        <f t="shared" si="39"/>
        <v>20.519383875594983</v>
      </c>
      <c r="DH80" s="6">
        <f t="shared" si="39"/>
        <v>10.744893027625205</v>
      </c>
      <c r="DI80" s="6">
        <f t="shared" si="39"/>
        <v>5.6265224916263517</v>
      </c>
      <c r="DJ80" s="6">
        <f t="shared" si="39"/>
        <v>2.9463117019989173</v>
      </c>
      <c r="DK80" s="6">
        <f t="shared" si="39"/>
        <v>1.5428359832376841</v>
      </c>
      <c r="DL80" s="6">
        <f t="shared" si="39"/>
        <v>0.80792252387944741</v>
      </c>
      <c r="DM80" s="6">
        <f t="shared" si="39"/>
        <v>0.42310882486897095</v>
      </c>
      <c r="DN80" s="6">
        <f t="shared" si="39"/>
        <v>0.22164228330171534</v>
      </c>
      <c r="DO80" s="6">
        <f t="shared" si="39"/>
        <v>0.11622073116520305</v>
      </c>
      <c r="DP80" s="6">
        <f t="shared" si="39"/>
        <v>6.1161495866945442E-2</v>
      </c>
      <c r="DQ80" s="6">
        <f t="shared" si="39"/>
        <v>3.2605575444364168E-2</v>
      </c>
      <c r="DR80" s="6">
        <f t="shared" si="39"/>
        <v>1.8178737714340702E-2</v>
      </c>
      <c r="DS80" s="6">
        <f t="shared" si="39"/>
        <v>1.1629352993864878E-2</v>
      </c>
      <c r="DT80" s="6">
        <f t="shared" si="39"/>
        <v>1.0119354570730502E-2</v>
      </c>
      <c r="DU80" s="6">
        <f t="shared" si="39"/>
        <v>1.2994409794912676E-2</v>
      </c>
      <c r="DV80" s="6">
        <f t="shared" si="39"/>
        <v>2.1500375930223671E-2</v>
      </c>
      <c r="DW80" s="6">
        <f t="shared" si="39"/>
        <v>3.9323171635298276E-2</v>
      </c>
      <c r="DX80" s="6">
        <f t="shared" si="39"/>
        <v>7.4186008382335439E-2</v>
      </c>
      <c r="DY80" s="6">
        <f t="shared" si="39"/>
        <v>0.1411961154283847</v>
      </c>
      <c r="DZ80" s="6">
        <f t="shared" si="39"/>
        <v>0.26939120582673393</v>
      </c>
      <c r="EA80" s="6">
        <f t="shared" si="39"/>
        <v>0.51432248541666792</v>
      </c>
      <c r="EB80" s="6">
        <f t="shared" si="39"/>
        <v>0.98212684202049116</v>
      </c>
      <c r="EC80" s="6">
        <f t="shared" si="39"/>
        <v>1.8755194968331941</v>
      </c>
      <c r="ED80" s="6">
        <f t="shared" si="39"/>
        <v>3.5816372669402807</v>
      </c>
      <c r="EE80" s="6">
        <f t="shared" si="39"/>
        <v>6.8397978527214915</v>
      </c>
      <c r="EF80" s="6">
        <f t="shared" si="39"/>
        <v>13.06187084134868</v>
      </c>
      <c r="EG80" s="6">
        <f t="shared" si="39"/>
        <v>24.944087861226972</v>
      </c>
      <c r="EH80" s="6">
        <f t="shared" si="39"/>
        <v>47.635409620970279</v>
      </c>
    </row>
    <row r="81" spans="5:138">
      <c r="E81" s="26"/>
      <c r="F81" s="4">
        <v>7.6666666666666675E-2</v>
      </c>
      <c r="G81" s="6">
        <f t="shared" si="40"/>
        <v>300</v>
      </c>
      <c r="H81" s="6">
        <f t="shared" si="46"/>
        <v>157.09377165338856</v>
      </c>
      <c r="I81" s="6">
        <f t="shared" si="41"/>
        <v>82.261511023245447</v>
      </c>
      <c r="J81" s="6">
        <f t="shared" si="41"/>
        <v>43.075905169842073</v>
      </c>
      <c r="K81" s="6">
        <f t="shared" si="41"/>
        <v>22.556524890036926</v>
      </c>
      <c r="L81" s="6">
        <f t="shared" si="41"/>
        <v>11.811638729247786</v>
      </c>
      <c r="M81" s="6">
        <f t="shared" si="41"/>
        <v>6.1851293511326908</v>
      </c>
      <c r="N81" s="6">
        <f t="shared" si="41"/>
        <v>3.2388426918417643</v>
      </c>
      <c r="O81" s="6">
        <f t="shared" si="41"/>
        <v>1.696054532348936</v>
      </c>
      <c r="P81" s="6">
        <f t="shared" si="41"/>
        <v>0.88822333687397981</v>
      </c>
      <c r="Q81" s="6">
        <f t="shared" si="41"/>
        <v>0.46528892071108163</v>
      </c>
      <c r="R81" s="6">
        <f t="shared" si="41"/>
        <v>0.24397970352298565</v>
      </c>
      <c r="S81" s="6">
        <f t="shared" si="41"/>
        <v>0.12839502452818347</v>
      </c>
      <c r="T81" s="6">
        <f t="shared" si="41"/>
        <v>6.8448189495594031E-2</v>
      </c>
      <c r="U81" s="6">
        <f t="shared" si="41"/>
        <v>3.8162236577762063E-2</v>
      </c>
      <c r="V81" s="6">
        <f t="shared" si="41"/>
        <v>2.441325284362697E-2</v>
      </c>
      <c r="W81" s="6">
        <f t="shared" si="41"/>
        <v>2.1243345341730231E-2</v>
      </c>
      <c r="X81" s="6">
        <f t="shared" si="41"/>
        <v>2.7278887487916591E-2</v>
      </c>
      <c r="Y81" s="6">
        <f t="shared" si="41"/>
        <v>4.5135280878866799E-2</v>
      </c>
      <c r="Z81" s="6">
        <f t="shared" si="41"/>
        <v>8.2550295983992661E-2</v>
      </c>
      <c r="AA81" s="6">
        <f t="shared" si="41"/>
        <v>0.15573710601551527</v>
      </c>
      <c r="AB81" s="6">
        <f t="shared" si="41"/>
        <v>0.296409995320428</v>
      </c>
      <c r="AC81" s="6">
        <f t="shared" si="41"/>
        <v>0.56552721593085953</v>
      </c>
      <c r="AD81" s="6">
        <f t="shared" si="41"/>
        <v>1.0797062301113298</v>
      </c>
      <c r="AE81" s="6">
        <f t="shared" si="41"/>
        <v>2.0617579440067102</v>
      </c>
      <c r="AF81" s="6">
        <f t="shared" si="41"/>
        <v>3.9372381003049979</v>
      </c>
      <c r="AG81" s="6">
        <f t="shared" si="41"/>
        <v>7.5188547667354513</v>
      </c>
      <c r="AH81" s="6">
        <f t="shared" si="41"/>
        <v>14.358641832084604</v>
      </c>
      <c r="AI81" s="6">
        <f t="shared" si="41"/>
        <v>27.420507024670414</v>
      </c>
      <c r="AJ81" s="6">
        <f t="shared" si="41"/>
        <v>52.364591927946755</v>
      </c>
      <c r="AK81" s="6">
        <f t="shared" si="42"/>
        <v>100</v>
      </c>
      <c r="AL81" s="24"/>
      <c r="AM81" s="4">
        <v>7.6666666666666675E-2</v>
      </c>
      <c r="AN81" s="6">
        <f t="shared" si="43"/>
        <v>-538200000</v>
      </c>
      <c r="AO81" s="6">
        <f t="shared" si="37"/>
        <v>-281826226.34617907</v>
      </c>
      <c r="AP81" s="6">
        <f t="shared" si="37"/>
        <v>-147577150.77570233</v>
      </c>
      <c r="AQ81" s="6">
        <f t="shared" si="37"/>
        <v>-77278173.874696672</v>
      </c>
      <c r="AR81" s="6">
        <f t="shared" si="37"/>
        <v>-40466405.65272624</v>
      </c>
      <c r="AS81" s="6">
        <f t="shared" si="37"/>
        <v>-21190079.880270526</v>
      </c>
      <c r="AT81" s="6">
        <f t="shared" si="37"/>
        <v>-11096122.055932045</v>
      </c>
      <c r="AU81" s="6">
        <f t="shared" si="37"/>
        <v>-5810483.7891641241</v>
      </c>
      <c r="AV81" s="6">
        <f t="shared" si="37"/>
        <v>-3042721.8310339907</v>
      </c>
      <c r="AW81" s="6">
        <f t="shared" si="37"/>
        <v>-1593472.6663519195</v>
      </c>
      <c r="AX81" s="6">
        <f t="shared" si="37"/>
        <v>-834728.32375568047</v>
      </c>
      <c r="AY81" s="6">
        <f t="shared" si="37"/>
        <v>-437699.58812023624</v>
      </c>
      <c r="AZ81" s="6">
        <f t="shared" si="37"/>
        <v>-230340.67400356109</v>
      </c>
      <c r="BA81" s="6">
        <f t="shared" si="37"/>
        <v>-122796.0519550957</v>
      </c>
      <c r="BB81" s="6">
        <f t="shared" si="37"/>
        <v>-68463.052420505119</v>
      </c>
      <c r="BC81" s="6">
        <f t="shared" si="37"/>
        <v>-43797.375601466774</v>
      </c>
      <c r="BD81" s="6">
        <f t="shared" si="37"/>
        <v>-38110.561543064025</v>
      </c>
      <c r="BE81" s="6">
        <f t="shared" si="37"/>
        <v>-48938.324153322355</v>
      </c>
      <c r="BF81" s="6">
        <f t="shared" si="37"/>
        <v>-80972.693896687037</v>
      </c>
      <c r="BG81" s="6">
        <f t="shared" si="37"/>
        <v>-148095.23099528282</v>
      </c>
      <c r="BH81" s="6">
        <f t="shared" si="37"/>
        <v>-279392.36819183442</v>
      </c>
      <c r="BI81" s="6">
        <f t="shared" si="37"/>
        <v>-531759.53160484775</v>
      </c>
      <c r="BJ81" s="6">
        <f t="shared" si="37"/>
        <v>-1014555.8253799618</v>
      </c>
      <c r="BK81" s="6">
        <f t="shared" si="37"/>
        <v>-1936992.9768197257</v>
      </c>
      <c r="BL81" s="6">
        <f t="shared" si="37"/>
        <v>-3698793.7515480374</v>
      </c>
      <c r="BM81" s="6">
        <f t="shared" si="37"/>
        <v>-7063405.1519471649</v>
      </c>
      <c r="BN81" s="6">
        <f t="shared" si="37"/>
        <v>-13488825.451523397</v>
      </c>
      <c r="BO81" s="6">
        <f t="shared" si="37"/>
        <v>-25759403.446759775</v>
      </c>
      <c r="BP81" s="6">
        <f t="shared" si="37"/>
        <v>-49192389.60225872</v>
      </c>
      <c r="BQ81" s="6">
        <f t="shared" si="37"/>
        <v>-93942077.918736458</v>
      </c>
      <c r="BR81" s="6">
        <f t="shared" si="37"/>
        <v>-179400000</v>
      </c>
      <c r="BT81" s="24"/>
      <c r="BU81" s="4">
        <v>7.6666666666666675E-2</v>
      </c>
      <c r="BV81" s="6">
        <f t="shared" si="44"/>
        <v>0.52364590379036002</v>
      </c>
      <c r="BW81" s="6">
        <f t="shared" si="44"/>
        <v>0.52364590379036002</v>
      </c>
      <c r="BX81" s="6">
        <f t="shared" si="38"/>
        <v>0.52364590379036002</v>
      </c>
      <c r="BY81" s="6">
        <f t="shared" si="38"/>
        <v>0.52364590379036002</v>
      </c>
      <c r="BZ81" s="6">
        <f t="shared" si="38"/>
        <v>0.52364590379036002</v>
      </c>
      <c r="CA81" s="6">
        <f t="shared" si="38"/>
        <v>0.52364590379036002</v>
      </c>
      <c r="CB81" s="6">
        <f t="shared" si="38"/>
        <v>0.52364590379036002</v>
      </c>
      <c r="CC81" s="6">
        <f t="shared" si="38"/>
        <v>0.52364590379036002</v>
      </c>
      <c r="CD81" s="6">
        <f t="shared" si="38"/>
        <v>0.52364590379036002</v>
      </c>
      <c r="CE81" s="6">
        <f t="shared" si="38"/>
        <v>0.52364590379036002</v>
      </c>
      <c r="CF81" s="6">
        <f t="shared" si="38"/>
        <v>0.52364590379036002</v>
      </c>
      <c r="CG81" s="6">
        <f t="shared" si="38"/>
        <v>0.52364590379036002</v>
      </c>
      <c r="CH81" s="6">
        <f t="shared" si="38"/>
        <v>0.52364590379036002</v>
      </c>
      <c r="CI81" s="6">
        <f t="shared" si="38"/>
        <v>0.52364590379036002</v>
      </c>
      <c r="CJ81" s="6">
        <f t="shared" si="38"/>
        <v>0.52364590379036002</v>
      </c>
      <c r="CK81" s="6">
        <f t="shared" si="38"/>
        <v>0.52364590379036002</v>
      </c>
      <c r="CL81" s="6">
        <f t="shared" si="38"/>
        <v>0.52364590379036002</v>
      </c>
      <c r="CM81" s="6">
        <f t="shared" si="38"/>
        <v>0.52364590379036002</v>
      </c>
      <c r="CN81" s="6">
        <f t="shared" si="38"/>
        <v>0.52364590379036002</v>
      </c>
      <c r="CO81" s="6">
        <f t="shared" si="38"/>
        <v>0.52364590379036002</v>
      </c>
      <c r="CP81" s="6">
        <f t="shared" si="38"/>
        <v>0.52364590379036002</v>
      </c>
      <c r="CQ81" s="6">
        <f t="shared" si="38"/>
        <v>0.52364590379036002</v>
      </c>
      <c r="CR81" s="6">
        <f t="shared" si="38"/>
        <v>0.52364590379036002</v>
      </c>
      <c r="CS81" s="6">
        <f t="shared" si="38"/>
        <v>0.52364590379036002</v>
      </c>
      <c r="CT81" s="6">
        <f t="shared" si="38"/>
        <v>0.52364590379036002</v>
      </c>
      <c r="CU81" s="6">
        <f t="shared" si="38"/>
        <v>0.52364590379036002</v>
      </c>
      <c r="CV81" s="6">
        <f t="shared" si="38"/>
        <v>0.52364590379036002</v>
      </c>
      <c r="CW81" s="6">
        <f t="shared" si="38"/>
        <v>0.52364590379036002</v>
      </c>
      <c r="CX81" s="6">
        <f t="shared" si="38"/>
        <v>0.52364590379036002</v>
      </c>
      <c r="CY81" s="6">
        <f t="shared" si="38"/>
        <v>0.52364590379036002</v>
      </c>
      <c r="CZ81" s="6">
        <f t="shared" si="38"/>
        <v>0.52364590379036002</v>
      </c>
      <c r="DB81" s="24"/>
      <c r="DC81" s="4">
        <v>7.6666666666666675E-2</v>
      </c>
      <c r="DD81" s="6">
        <f t="shared" si="45"/>
        <v>142.90622886289202</v>
      </c>
      <c r="DE81" s="6">
        <f t="shared" si="39"/>
        <v>74.83226161611347</v>
      </c>
      <c r="DF81" s="6">
        <f t="shared" si="39"/>
        <v>39.185607736317429</v>
      </c>
      <c r="DG81" s="6">
        <f t="shared" si="39"/>
        <v>20.519383875592279</v>
      </c>
      <c r="DH81" s="6">
        <f t="shared" si="39"/>
        <v>10.744893027623789</v>
      </c>
      <c r="DI81" s="6">
        <f t="shared" si="39"/>
        <v>5.62652249162561</v>
      </c>
      <c r="DJ81" s="6">
        <f t="shared" si="39"/>
        <v>2.9463117019985297</v>
      </c>
      <c r="DK81" s="6">
        <f t="shared" si="39"/>
        <v>1.5428359832374812</v>
      </c>
      <c r="DL81" s="6">
        <f t="shared" si="39"/>
        <v>0.80792252387934105</v>
      </c>
      <c r="DM81" s="6">
        <f t="shared" si="39"/>
        <v>0.42310882486891527</v>
      </c>
      <c r="DN81" s="6">
        <f t="shared" si="39"/>
        <v>0.22164228330168614</v>
      </c>
      <c r="DO81" s="6">
        <f t="shared" si="39"/>
        <v>0.11622073116518776</v>
      </c>
      <c r="DP81" s="6">
        <f t="shared" si="39"/>
        <v>6.1161495866937386E-2</v>
      </c>
      <c r="DQ81" s="6">
        <f t="shared" si="39"/>
        <v>3.2605575444359873E-2</v>
      </c>
      <c r="DR81" s="6">
        <f t="shared" si="39"/>
        <v>1.8178737714338308E-2</v>
      </c>
      <c r="DS81" s="6">
        <f t="shared" si="39"/>
        <v>1.162935299386335E-2</v>
      </c>
      <c r="DT81" s="6">
        <f t="shared" si="39"/>
        <v>1.0119354570729171E-2</v>
      </c>
      <c r="DU81" s="6">
        <f t="shared" si="39"/>
        <v>1.2994409794910965E-2</v>
      </c>
      <c r="DV81" s="6">
        <f t="shared" si="39"/>
        <v>2.1500375930220843E-2</v>
      </c>
      <c r="DW81" s="6">
        <f t="shared" si="39"/>
        <v>3.9323171635293107E-2</v>
      </c>
      <c r="DX81" s="6">
        <f t="shared" si="39"/>
        <v>7.4186008382325669E-2</v>
      </c>
      <c r="DY81" s="6">
        <f t="shared" si="39"/>
        <v>0.1411961154283661</v>
      </c>
      <c r="DZ81" s="6">
        <f t="shared" si="39"/>
        <v>0.26939120582669851</v>
      </c>
      <c r="EA81" s="6">
        <f t="shared" si="39"/>
        <v>0.51432248541660019</v>
      </c>
      <c r="EB81" s="6">
        <f t="shared" si="39"/>
        <v>0.98212684202036193</v>
      </c>
      <c r="EC81" s="6">
        <f t="shared" si="39"/>
        <v>1.8755194968329469</v>
      </c>
      <c r="ED81" s="6">
        <f t="shared" si="39"/>
        <v>3.5816372669398091</v>
      </c>
      <c r="EE81" s="6">
        <f t="shared" si="39"/>
        <v>6.8397978527205909</v>
      </c>
      <c r="EF81" s="6">
        <f t="shared" si="39"/>
        <v>13.061870841346961</v>
      </c>
      <c r="EG81" s="6">
        <f t="shared" si="39"/>
        <v>24.944087861223686</v>
      </c>
      <c r="EH81" s="6">
        <f t="shared" si="39"/>
        <v>47.635409620964005</v>
      </c>
    </row>
    <row r="82" spans="5:138">
      <c r="E82" s="26"/>
      <c r="F82" s="4">
        <v>7.3333333333333334E-2</v>
      </c>
      <c r="G82" s="6">
        <f t="shared" si="40"/>
        <v>300</v>
      </c>
      <c r="H82" s="6">
        <f t="shared" si="46"/>
        <v>157.09377165338856</v>
      </c>
      <c r="I82" s="6">
        <f t="shared" si="41"/>
        <v>82.261511023245447</v>
      </c>
      <c r="J82" s="6">
        <f t="shared" si="41"/>
        <v>43.075905169842073</v>
      </c>
      <c r="K82" s="6">
        <f t="shared" si="41"/>
        <v>22.556524890036926</v>
      </c>
      <c r="L82" s="6">
        <f t="shared" si="41"/>
        <v>11.811638729247786</v>
      </c>
      <c r="M82" s="6">
        <f t="shared" si="41"/>
        <v>6.1851293511326908</v>
      </c>
      <c r="N82" s="6">
        <f t="shared" si="41"/>
        <v>3.2388426918417643</v>
      </c>
      <c r="O82" s="6">
        <f t="shared" si="41"/>
        <v>1.696054532348936</v>
      </c>
      <c r="P82" s="6">
        <f t="shared" si="41"/>
        <v>0.88822333687397981</v>
      </c>
      <c r="Q82" s="6">
        <f t="shared" si="41"/>
        <v>0.46528892071108163</v>
      </c>
      <c r="R82" s="6">
        <f t="shared" si="41"/>
        <v>0.24397970352298567</v>
      </c>
      <c r="S82" s="6">
        <f t="shared" si="41"/>
        <v>0.12839502452818347</v>
      </c>
      <c r="T82" s="6">
        <f t="shared" si="41"/>
        <v>6.8448189495594031E-2</v>
      </c>
      <c r="U82" s="6">
        <f t="shared" si="41"/>
        <v>3.8162236577762063E-2</v>
      </c>
      <c r="V82" s="6">
        <f t="shared" si="41"/>
        <v>2.441325284362697E-2</v>
      </c>
      <c r="W82" s="6">
        <f t="shared" si="41"/>
        <v>2.1243345341730231E-2</v>
      </c>
      <c r="X82" s="6">
        <f t="shared" si="41"/>
        <v>2.7278887487916591E-2</v>
      </c>
      <c r="Y82" s="6">
        <f t="shared" si="41"/>
        <v>4.5135280878866799E-2</v>
      </c>
      <c r="Z82" s="6">
        <f t="shared" si="41"/>
        <v>8.2550295983992661E-2</v>
      </c>
      <c r="AA82" s="6">
        <f t="shared" si="41"/>
        <v>0.15573710601551527</v>
      </c>
      <c r="AB82" s="6">
        <f t="shared" si="41"/>
        <v>0.296409995320428</v>
      </c>
      <c r="AC82" s="6">
        <f t="shared" si="41"/>
        <v>0.56552721593085953</v>
      </c>
      <c r="AD82" s="6">
        <f t="shared" si="41"/>
        <v>1.0797062301113298</v>
      </c>
      <c r="AE82" s="6">
        <f t="shared" si="41"/>
        <v>2.0617579440067102</v>
      </c>
      <c r="AF82" s="6">
        <f t="shared" si="41"/>
        <v>3.9372381003049979</v>
      </c>
      <c r="AG82" s="6">
        <f t="shared" si="41"/>
        <v>7.5188547667354513</v>
      </c>
      <c r="AH82" s="6">
        <f t="shared" si="41"/>
        <v>14.358641832084604</v>
      </c>
      <c r="AI82" s="6">
        <f t="shared" si="41"/>
        <v>27.420507024670414</v>
      </c>
      <c r="AJ82" s="6">
        <f t="shared" si="41"/>
        <v>52.364591927946755</v>
      </c>
      <c r="AK82" s="6">
        <f t="shared" si="42"/>
        <v>100</v>
      </c>
      <c r="AL82" s="24"/>
      <c r="AM82" s="4">
        <v>7.3333333333333334E-2</v>
      </c>
      <c r="AN82" s="6">
        <f t="shared" si="43"/>
        <v>-538200000</v>
      </c>
      <c r="AO82" s="6">
        <f t="shared" si="37"/>
        <v>-281826226.34617907</v>
      </c>
      <c r="AP82" s="6">
        <f t="shared" si="37"/>
        <v>-147577150.77570233</v>
      </c>
      <c r="AQ82" s="6">
        <f t="shared" si="37"/>
        <v>-77278173.874696672</v>
      </c>
      <c r="AR82" s="6">
        <f t="shared" si="37"/>
        <v>-40466405.65272624</v>
      </c>
      <c r="AS82" s="6">
        <f t="shared" si="37"/>
        <v>-21190079.880270526</v>
      </c>
      <c r="AT82" s="6">
        <f t="shared" si="37"/>
        <v>-11096122.055932045</v>
      </c>
      <c r="AU82" s="6">
        <f t="shared" si="37"/>
        <v>-5810483.7891641241</v>
      </c>
      <c r="AV82" s="6">
        <f t="shared" si="37"/>
        <v>-3042721.8310339907</v>
      </c>
      <c r="AW82" s="6">
        <f t="shared" si="37"/>
        <v>-1593472.6663519195</v>
      </c>
      <c r="AX82" s="6">
        <f t="shared" si="37"/>
        <v>-834728.32375568047</v>
      </c>
      <c r="AY82" s="6">
        <f t="shared" si="37"/>
        <v>-437699.58812023624</v>
      </c>
      <c r="AZ82" s="6">
        <f t="shared" si="37"/>
        <v>-230340.67400356109</v>
      </c>
      <c r="BA82" s="6">
        <f t="shared" si="37"/>
        <v>-122796.0519550957</v>
      </c>
      <c r="BB82" s="6">
        <f t="shared" si="37"/>
        <v>-68463.052420505119</v>
      </c>
      <c r="BC82" s="6">
        <f t="shared" si="37"/>
        <v>-43797.375601466774</v>
      </c>
      <c r="BD82" s="6">
        <f t="shared" ref="BD82:BR98" si="47">-($B$12*$B$11)/$B$8*W47</f>
        <v>-38110.561543064025</v>
      </c>
      <c r="BE82" s="6">
        <f t="shared" si="47"/>
        <v>-48938.324153322355</v>
      </c>
      <c r="BF82" s="6">
        <f t="shared" si="47"/>
        <v>-80972.693896687037</v>
      </c>
      <c r="BG82" s="6">
        <f t="shared" si="47"/>
        <v>-148095.23099528282</v>
      </c>
      <c r="BH82" s="6">
        <f t="shared" si="47"/>
        <v>-279392.36819183442</v>
      </c>
      <c r="BI82" s="6">
        <f t="shared" si="47"/>
        <v>-531759.53160484775</v>
      </c>
      <c r="BJ82" s="6">
        <f t="shared" si="47"/>
        <v>-1014555.8253799618</v>
      </c>
      <c r="BK82" s="6">
        <f t="shared" si="47"/>
        <v>-1936992.9768197257</v>
      </c>
      <c r="BL82" s="6">
        <f t="shared" si="47"/>
        <v>-3698793.7515480374</v>
      </c>
      <c r="BM82" s="6">
        <f t="shared" si="47"/>
        <v>-7063405.1519471649</v>
      </c>
      <c r="BN82" s="6">
        <f t="shared" si="47"/>
        <v>-13488825.451523397</v>
      </c>
      <c r="BO82" s="6">
        <f t="shared" si="47"/>
        <v>-25759403.446759775</v>
      </c>
      <c r="BP82" s="6">
        <f t="shared" si="47"/>
        <v>-49192389.60225872</v>
      </c>
      <c r="BQ82" s="6">
        <f t="shared" si="47"/>
        <v>-93942077.918736458</v>
      </c>
      <c r="BR82" s="6">
        <f t="shared" si="47"/>
        <v>-179400000</v>
      </c>
      <c r="BT82" s="24"/>
      <c r="BU82" s="4">
        <v>7.3333333333333334E-2</v>
      </c>
      <c r="BV82" s="6">
        <f t="shared" si="44"/>
        <v>0.52364590379058873</v>
      </c>
      <c r="BW82" s="6">
        <f t="shared" si="44"/>
        <v>0.52364590379058873</v>
      </c>
      <c r="BX82" s="6">
        <f t="shared" si="38"/>
        <v>0.52364590379058873</v>
      </c>
      <c r="BY82" s="6">
        <f t="shared" si="38"/>
        <v>0.52364590379058873</v>
      </c>
      <c r="BZ82" s="6">
        <f t="shared" si="38"/>
        <v>0.52364590379058873</v>
      </c>
      <c r="CA82" s="6">
        <f t="shared" si="38"/>
        <v>0.52364590379058873</v>
      </c>
      <c r="CB82" s="6">
        <f t="shared" si="38"/>
        <v>0.52364590379058873</v>
      </c>
      <c r="CC82" s="6">
        <f t="shared" si="38"/>
        <v>0.52364590379058873</v>
      </c>
      <c r="CD82" s="6">
        <f t="shared" si="38"/>
        <v>0.52364590379058873</v>
      </c>
      <c r="CE82" s="6">
        <f t="shared" si="38"/>
        <v>0.52364590379058873</v>
      </c>
      <c r="CF82" s="6">
        <f t="shared" si="38"/>
        <v>0.52364590379058873</v>
      </c>
      <c r="CG82" s="6">
        <f t="shared" si="38"/>
        <v>0.52364590379058873</v>
      </c>
      <c r="CH82" s="6">
        <f t="shared" si="38"/>
        <v>0.52364590379058873</v>
      </c>
      <c r="CI82" s="6">
        <f t="shared" si="38"/>
        <v>0.52364590379058873</v>
      </c>
      <c r="CJ82" s="6">
        <f t="shared" si="38"/>
        <v>0.52364590379058873</v>
      </c>
      <c r="CK82" s="6">
        <f t="shared" si="38"/>
        <v>0.52364590379058873</v>
      </c>
      <c r="CL82" s="6">
        <f t="shared" si="38"/>
        <v>0.52364590379058873</v>
      </c>
      <c r="CM82" s="6">
        <f t="shared" si="38"/>
        <v>0.52364590379058873</v>
      </c>
      <c r="CN82" s="6">
        <f t="shared" si="38"/>
        <v>0.52364590379058873</v>
      </c>
      <c r="CO82" s="6">
        <f t="shared" si="38"/>
        <v>0.52364590379058873</v>
      </c>
      <c r="CP82" s="6">
        <f t="shared" si="38"/>
        <v>0.52364590379058873</v>
      </c>
      <c r="CQ82" s="6">
        <f t="shared" si="38"/>
        <v>0.52364590379058873</v>
      </c>
      <c r="CR82" s="6">
        <f t="shared" si="38"/>
        <v>0.52364590379058873</v>
      </c>
      <c r="CS82" s="6">
        <f t="shared" si="38"/>
        <v>0.52364590379058873</v>
      </c>
      <c r="CT82" s="6">
        <f t="shared" si="38"/>
        <v>0.52364590379058873</v>
      </c>
      <c r="CU82" s="6">
        <f t="shared" ref="CU82:CZ103" si="48">$B$20/($B$21-$B$22*CU83)</f>
        <v>0.52364590379058873</v>
      </c>
      <c r="CV82" s="6">
        <f t="shared" si="48"/>
        <v>0.52364590379058873</v>
      </c>
      <c r="CW82" s="6">
        <f t="shared" si="48"/>
        <v>0.52364590379058873</v>
      </c>
      <c r="CX82" s="6">
        <f t="shared" si="48"/>
        <v>0.52364590379058873</v>
      </c>
      <c r="CY82" s="6">
        <f t="shared" si="48"/>
        <v>0.52364590379058873</v>
      </c>
      <c r="CZ82" s="6">
        <f t="shared" si="48"/>
        <v>0.52364590379058873</v>
      </c>
      <c r="DB82" s="24"/>
      <c r="DC82" s="4">
        <v>7.3333333333333334E-2</v>
      </c>
      <c r="DD82" s="6">
        <f t="shared" si="45"/>
        <v>142.90622886282338</v>
      </c>
      <c r="DE82" s="6">
        <f t="shared" si="39"/>
        <v>74.832261616077545</v>
      </c>
      <c r="DF82" s="6">
        <f t="shared" si="39"/>
        <v>39.185607736298614</v>
      </c>
      <c r="DG82" s="6">
        <f t="shared" si="39"/>
        <v>20.519383875582427</v>
      </c>
      <c r="DH82" s="6">
        <f t="shared" si="39"/>
        <v>10.74489302761863</v>
      </c>
      <c r="DI82" s="6">
        <f t="shared" si="39"/>
        <v>5.6265224916229091</v>
      </c>
      <c r="DJ82" s="6">
        <f t="shared" si="39"/>
        <v>2.9463117019971152</v>
      </c>
      <c r="DK82" s="6">
        <f t="shared" si="39"/>
        <v>1.5428359832367402</v>
      </c>
      <c r="DL82" s="6">
        <f t="shared" si="39"/>
        <v>0.80792252387895314</v>
      </c>
      <c r="DM82" s="6">
        <f>(DM83*$B$22-AW82)/($B$21-$B$22*CE83)</f>
        <v>0.42310882486871204</v>
      </c>
      <c r="DN82" s="6">
        <f t="shared" si="39"/>
        <v>0.22164228330157973</v>
      </c>
      <c r="DO82" s="6">
        <f t="shared" si="39"/>
        <v>0.11622073116513196</v>
      </c>
      <c r="DP82" s="6">
        <f t="shared" si="39"/>
        <v>6.1161495866908021E-2</v>
      </c>
      <c r="DQ82" s="6">
        <f t="shared" si="39"/>
        <v>3.2605575444344219E-2</v>
      </c>
      <c r="DR82" s="6">
        <f t="shared" si="39"/>
        <v>1.8178737714329578E-2</v>
      </c>
      <c r="DS82" s="6">
        <f t="shared" si="39"/>
        <v>1.1629352993857764E-2</v>
      </c>
      <c r="DT82" s="6">
        <f t="shared" si="39"/>
        <v>1.011935457072431E-2</v>
      </c>
      <c r="DU82" s="6">
        <f t="shared" ref="DU82:EH100" si="49">(DU83*$B$22-BE82)/($B$21-$B$22*CM83)</f>
        <v>1.2994409794904724E-2</v>
      </c>
      <c r="DV82" s="6">
        <f t="shared" si="49"/>
        <v>2.1500375930210518E-2</v>
      </c>
      <c r="DW82" s="6">
        <f t="shared" si="49"/>
        <v>3.9323171635274226E-2</v>
      </c>
      <c r="DX82" s="6">
        <f t="shared" si="49"/>
        <v>7.4186008382290058E-2</v>
      </c>
      <c r="DY82" s="6">
        <f t="shared" si="49"/>
        <v>0.14119611542829832</v>
      </c>
      <c r="DZ82" s="6">
        <f t="shared" si="49"/>
        <v>0.26939120582656917</v>
      </c>
      <c r="EA82" s="6">
        <f t="shared" si="49"/>
        <v>0.51432248541635317</v>
      </c>
      <c r="EB82" s="6">
        <f t="shared" si="49"/>
        <v>0.98212684201989042</v>
      </c>
      <c r="EC82" s="6">
        <f t="shared" si="49"/>
        <v>1.8755194968320466</v>
      </c>
      <c r="ED82" s="6">
        <f t="shared" si="49"/>
        <v>3.5816372669380896</v>
      </c>
      <c r="EE82" s="6">
        <f t="shared" si="49"/>
        <v>6.8397978527173073</v>
      </c>
      <c r="EF82" s="6">
        <f t="shared" si="49"/>
        <v>13.061870841340689</v>
      </c>
      <c r="EG82" s="6">
        <f t="shared" si="49"/>
        <v>24.94408786121171</v>
      </c>
      <c r="EH82" s="6">
        <f t="shared" si="49"/>
        <v>47.635409620941132</v>
      </c>
    </row>
    <row r="83" spans="5:138">
      <c r="E83" s="26"/>
      <c r="F83" s="4">
        <v>7.0000000000000007E-2</v>
      </c>
      <c r="G83" s="6">
        <f t="shared" si="40"/>
        <v>300</v>
      </c>
      <c r="H83" s="6">
        <f t="shared" si="46"/>
        <v>157.09377165338856</v>
      </c>
      <c r="I83" s="6">
        <f t="shared" si="41"/>
        <v>82.261511023245447</v>
      </c>
      <c r="J83" s="6">
        <f t="shared" si="41"/>
        <v>43.075905169842073</v>
      </c>
      <c r="K83" s="6">
        <f t="shared" si="41"/>
        <v>22.556524890036926</v>
      </c>
      <c r="L83" s="6">
        <f t="shared" si="41"/>
        <v>11.811638729247786</v>
      </c>
      <c r="M83" s="6">
        <f t="shared" si="41"/>
        <v>6.1851293511326908</v>
      </c>
      <c r="N83" s="6">
        <f t="shared" si="41"/>
        <v>3.2388426918417643</v>
      </c>
      <c r="O83" s="6">
        <f t="shared" si="41"/>
        <v>1.696054532348936</v>
      </c>
      <c r="P83" s="6">
        <f t="shared" si="41"/>
        <v>0.88822333687397981</v>
      </c>
      <c r="Q83" s="6">
        <f t="shared" si="41"/>
        <v>0.46528892071108163</v>
      </c>
      <c r="R83" s="6">
        <f t="shared" si="41"/>
        <v>0.24397970352298565</v>
      </c>
      <c r="S83" s="6">
        <f t="shared" si="41"/>
        <v>0.12839502452818347</v>
      </c>
      <c r="T83" s="6">
        <f t="shared" si="41"/>
        <v>6.8448189495594031E-2</v>
      </c>
      <c r="U83" s="6">
        <f t="shared" si="41"/>
        <v>3.8162236577762056E-2</v>
      </c>
      <c r="V83" s="6">
        <f t="shared" si="41"/>
        <v>2.441325284362697E-2</v>
      </c>
      <c r="W83" s="6">
        <f t="shared" si="41"/>
        <v>2.1243345341730231E-2</v>
      </c>
      <c r="X83" s="6">
        <f t="shared" si="41"/>
        <v>2.7278887487916591E-2</v>
      </c>
      <c r="Y83" s="6">
        <f t="shared" si="41"/>
        <v>4.5135280878866799E-2</v>
      </c>
      <c r="Z83" s="6">
        <f t="shared" si="41"/>
        <v>8.2550295983992661E-2</v>
      </c>
      <c r="AA83" s="6">
        <f t="shared" si="41"/>
        <v>0.15573710601551527</v>
      </c>
      <c r="AB83" s="6">
        <f t="shared" si="41"/>
        <v>0.296409995320428</v>
      </c>
      <c r="AC83" s="6">
        <f t="shared" si="41"/>
        <v>0.56552721593085953</v>
      </c>
      <c r="AD83" s="6">
        <f t="shared" si="41"/>
        <v>1.0797062301113298</v>
      </c>
      <c r="AE83" s="6">
        <f t="shared" si="41"/>
        <v>2.0617579440067102</v>
      </c>
      <c r="AF83" s="6">
        <f t="shared" si="41"/>
        <v>3.9372381003049979</v>
      </c>
      <c r="AG83" s="6">
        <f t="shared" si="41"/>
        <v>7.5188547667354513</v>
      </c>
      <c r="AH83" s="6">
        <f t="shared" si="41"/>
        <v>14.358641832084604</v>
      </c>
      <c r="AI83" s="6">
        <f t="shared" si="41"/>
        <v>27.420507024670414</v>
      </c>
      <c r="AJ83" s="6">
        <f t="shared" si="41"/>
        <v>52.364591927946748</v>
      </c>
      <c r="AK83" s="6">
        <f t="shared" si="42"/>
        <v>100</v>
      </c>
      <c r="AL83" s="24"/>
      <c r="AM83" s="4">
        <v>7.0000000000000007E-2</v>
      </c>
      <c r="AN83" s="6">
        <f t="shared" si="43"/>
        <v>-538200000</v>
      </c>
      <c r="AO83" s="6">
        <f t="shared" si="43"/>
        <v>-281826226.34617907</v>
      </c>
      <c r="AP83" s="6">
        <f t="shared" si="43"/>
        <v>-147577150.77570233</v>
      </c>
      <c r="AQ83" s="6">
        <f t="shared" si="43"/>
        <v>-77278173.874696672</v>
      </c>
      <c r="AR83" s="6">
        <f t="shared" si="43"/>
        <v>-40466405.65272624</v>
      </c>
      <c r="AS83" s="6">
        <f t="shared" si="43"/>
        <v>-21190079.880270526</v>
      </c>
      <c r="AT83" s="6">
        <f t="shared" si="43"/>
        <v>-11096122.055932045</v>
      </c>
      <c r="AU83" s="6">
        <f t="shared" si="43"/>
        <v>-5810483.7891641241</v>
      </c>
      <c r="AV83" s="6">
        <f t="shared" si="43"/>
        <v>-3042721.8310339907</v>
      </c>
      <c r="AW83" s="6">
        <f t="shared" si="43"/>
        <v>-1593472.6663519195</v>
      </c>
      <c r="AX83" s="6">
        <f t="shared" si="43"/>
        <v>-834728.32375568047</v>
      </c>
      <c r="AY83" s="6">
        <f t="shared" si="43"/>
        <v>-437699.58812023624</v>
      </c>
      <c r="AZ83" s="6">
        <f t="shared" si="43"/>
        <v>-230340.67400356109</v>
      </c>
      <c r="BA83" s="6">
        <f t="shared" si="43"/>
        <v>-122796.0519550957</v>
      </c>
      <c r="BB83" s="6">
        <f t="shared" si="43"/>
        <v>-68463.052420505119</v>
      </c>
      <c r="BC83" s="6">
        <f t="shared" si="43"/>
        <v>-43797.375601466774</v>
      </c>
      <c r="BD83" s="6">
        <f t="shared" si="47"/>
        <v>-38110.561543064025</v>
      </c>
      <c r="BE83" s="6">
        <f t="shared" si="47"/>
        <v>-48938.324153322355</v>
      </c>
      <c r="BF83" s="6">
        <f t="shared" si="47"/>
        <v>-80972.693896687037</v>
      </c>
      <c r="BG83" s="6">
        <f t="shared" si="47"/>
        <v>-148095.23099528282</v>
      </c>
      <c r="BH83" s="6">
        <f t="shared" si="47"/>
        <v>-279392.36819183442</v>
      </c>
      <c r="BI83" s="6">
        <f t="shared" si="47"/>
        <v>-531759.53160484775</v>
      </c>
      <c r="BJ83" s="6">
        <f t="shared" si="47"/>
        <v>-1014555.8253799618</v>
      </c>
      <c r="BK83" s="6">
        <f t="shared" si="47"/>
        <v>-1936992.9768197257</v>
      </c>
      <c r="BL83" s="6">
        <f t="shared" si="47"/>
        <v>-3698793.7515480374</v>
      </c>
      <c r="BM83" s="6">
        <f t="shared" si="47"/>
        <v>-7063405.1519471649</v>
      </c>
      <c r="BN83" s="6">
        <f t="shared" si="47"/>
        <v>-13488825.451523397</v>
      </c>
      <c r="BO83" s="6">
        <f t="shared" si="47"/>
        <v>-25759403.446759775</v>
      </c>
      <c r="BP83" s="6">
        <f t="shared" si="47"/>
        <v>-49192389.60225872</v>
      </c>
      <c r="BQ83" s="6">
        <f t="shared" si="47"/>
        <v>-93942077.918736458</v>
      </c>
      <c r="BR83" s="6">
        <f t="shared" si="47"/>
        <v>-179400000</v>
      </c>
      <c r="BT83" s="24"/>
      <c r="BU83" s="4">
        <v>7.0000000000000007E-2</v>
      </c>
      <c r="BV83" s="6">
        <f t="shared" si="44"/>
        <v>0.52364590379142284</v>
      </c>
      <c r="BW83" s="6">
        <f t="shared" si="44"/>
        <v>0.52364590379142284</v>
      </c>
      <c r="BX83" s="6">
        <f t="shared" si="44"/>
        <v>0.52364590379142284</v>
      </c>
      <c r="BY83" s="6">
        <f t="shared" si="44"/>
        <v>0.52364590379142284</v>
      </c>
      <c r="BZ83" s="6">
        <f t="shared" si="44"/>
        <v>0.52364590379142284</v>
      </c>
      <c r="CA83" s="6">
        <f t="shared" si="44"/>
        <v>0.52364590379142284</v>
      </c>
      <c r="CB83" s="6">
        <f t="shared" si="44"/>
        <v>0.52364590379142284</v>
      </c>
      <c r="CC83" s="6">
        <f t="shared" si="44"/>
        <v>0.52364590379142284</v>
      </c>
      <c r="CD83" s="6">
        <f t="shared" si="44"/>
        <v>0.52364590379142284</v>
      </c>
      <c r="CE83" s="6">
        <f t="shared" si="44"/>
        <v>0.52364590379142284</v>
      </c>
      <c r="CF83" s="6">
        <f t="shared" si="44"/>
        <v>0.52364590379142284</v>
      </c>
      <c r="CG83" s="6">
        <f t="shared" si="44"/>
        <v>0.52364590379142284</v>
      </c>
      <c r="CH83" s="6">
        <f t="shared" si="44"/>
        <v>0.52364590379142284</v>
      </c>
      <c r="CI83" s="6">
        <f t="shared" si="44"/>
        <v>0.52364590379142284</v>
      </c>
      <c r="CJ83" s="6">
        <f t="shared" si="44"/>
        <v>0.52364590379142284</v>
      </c>
      <c r="CK83" s="6">
        <f t="shared" si="44"/>
        <v>0.52364590379142284</v>
      </c>
      <c r="CL83" s="6">
        <f t="shared" ref="CL83:CT103" si="50">$B$20/($B$21-$B$22*CL84)</f>
        <v>0.52364590379142284</v>
      </c>
      <c r="CM83" s="6">
        <f t="shared" si="50"/>
        <v>0.52364590379142284</v>
      </c>
      <c r="CN83" s="6">
        <f t="shared" si="50"/>
        <v>0.52364590379142284</v>
      </c>
      <c r="CO83" s="6">
        <f t="shared" si="50"/>
        <v>0.52364590379142284</v>
      </c>
      <c r="CP83" s="6">
        <f t="shared" si="50"/>
        <v>0.52364590379142284</v>
      </c>
      <c r="CQ83" s="6">
        <f t="shared" si="50"/>
        <v>0.52364590379142284</v>
      </c>
      <c r="CR83" s="6">
        <f t="shared" si="50"/>
        <v>0.52364590379142284</v>
      </c>
      <c r="CS83" s="6">
        <f t="shared" si="50"/>
        <v>0.52364590379142284</v>
      </c>
      <c r="CT83" s="6">
        <f t="shared" si="50"/>
        <v>0.52364590379142284</v>
      </c>
      <c r="CU83" s="6">
        <f t="shared" si="48"/>
        <v>0.52364590379142284</v>
      </c>
      <c r="CV83" s="6">
        <f t="shared" si="48"/>
        <v>0.52364590379142284</v>
      </c>
      <c r="CW83" s="6">
        <f t="shared" si="48"/>
        <v>0.52364590379142284</v>
      </c>
      <c r="CX83" s="6">
        <f t="shared" si="48"/>
        <v>0.52364590379142284</v>
      </c>
      <c r="CY83" s="6">
        <f t="shared" si="48"/>
        <v>0.52364590379142284</v>
      </c>
      <c r="CZ83" s="6">
        <f t="shared" si="48"/>
        <v>0.52364590379142284</v>
      </c>
      <c r="DB83" s="24"/>
      <c r="DC83" s="4">
        <v>7.0000000000000007E-2</v>
      </c>
      <c r="DD83" s="6">
        <f t="shared" si="45"/>
        <v>142.90622886257316</v>
      </c>
      <c r="DE83" s="6">
        <f t="shared" si="45"/>
        <v>74.832261615946507</v>
      </c>
      <c r="DF83" s="6">
        <f t="shared" si="45"/>
        <v>39.185607736229997</v>
      </c>
      <c r="DG83" s="6">
        <f t="shared" si="45"/>
        <v>20.519383875546499</v>
      </c>
      <c r="DH83" s="6">
        <f t="shared" si="45"/>
        <v>10.744893027599815</v>
      </c>
      <c r="DI83" s="6">
        <f t="shared" si="45"/>
        <v>5.6265224916130556</v>
      </c>
      <c r="DJ83" s="6">
        <f t="shared" si="45"/>
        <v>2.9463117019919558</v>
      </c>
      <c r="DK83" s="6">
        <f t="shared" si="45"/>
        <v>1.5428359832340386</v>
      </c>
      <c r="DL83" s="6">
        <f t="shared" si="45"/>
        <v>0.80792252387753838</v>
      </c>
      <c r="DM83" s="6">
        <f t="shared" si="45"/>
        <v>0.42310882486797119</v>
      </c>
      <c r="DN83" s="6">
        <f t="shared" si="45"/>
        <v>0.22164228330119162</v>
      </c>
      <c r="DO83" s="6">
        <f t="shared" si="45"/>
        <v>0.11622073116492844</v>
      </c>
      <c r="DP83" s="6">
        <f t="shared" si="45"/>
        <v>6.1161495866800919E-2</v>
      </c>
      <c r="DQ83" s="6">
        <f t="shared" si="45"/>
        <v>3.2605575444287126E-2</v>
      </c>
      <c r="DR83" s="6">
        <f t="shared" si="45"/>
        <v>1.8178737714297746E-2</v>
      </c>
      <c r="DS83" s="6">
        <f t="shared" si="45"/>
        <v>1.16293529938374E-2</v>
      </c>
      <c r="DT83" s="6">
        <f t="shared" ref="DT83:DW103" si="51">(DT84*$B$22-BD83)/($B$21-$B$22*CL84)</f>
        <v>1.011935457070659E-2</v>
      </c>
      <c r="DU83" s="6">
        <f t="shared" si="49"/>
        <v>1.2994409794881971E-2</v>
      </c>
      <c r="DV83" s="6">
        <f t="shared" si="49"/>
        <v>2.1500375930172871E-2</v>
      </c>
      <c r="DW83" s="6">
        <f t="shared" si="49"/>
        <v>3.9323171635205365E-2</v>
      </c>
      <c r="DX83" s="6">
        <f t="shared" si="49"/>
        <v>7.4186008382160148E-2</v>
      </c>
      <c r="DY83" s="6">
        <f t="shared" si="49"/>
        <v>0.14119611542805108</v>
      </c>
      <c r="DZ83" s="6">
        <f t="shared" si="49"/>
        <v>0.26939120582609744</v>
      </c>
      <c r="EA83" s="6">
        <f t="shared" si="49"/>
        <v>0.51432248541545256</v>
      </c>
      <c r="EB83" s="6">
        <f t="shared" si="49"/>
        <v>0.98212684201817058</v>
      </c>
      <c r="EC83" s="6">
        <f t="shared" si="49"/>
        <v>1.8755194968287625</v>
      </c>
      <c r="ED83" s="6">
        <f t="shared" si="49"/>
        <v>3.5816372669318182</v>
      </c>
      <c r="EE83" s="6">
        <f t="shared" si="49"/>
        <v>6.8397978527053294</v>
      </c>
      <c r="EF83" s="6">
        <f t="shared" si="49"/>
        <v>13.061870841317814</v>
      </c>
      <c r="EG83" s="6">
        <f t="shared" si="49"/>
        <v>24.944087861168025</v>
      </c>
      <c r="EH83" s="6">
        <f t="shared" si="49"/>
        <v>47.635409620857722</v>
      </c>
    </row>
    <row r="84" spans="5:138">
      <c r="E84" s="26"/>
      <c r="F84" s="4">
        <v>6.6666666666666666E-2</v>
      </c>
      <c r="G84" s="6">
        <f t="shared" si="40"/>
        <v>300</v>
      </c>
      <c r="H84" s="6">
        <f t="shared" si="46"/>
        <v>157.09377165338856</v>
      </c>
      <c r="I84" s="6">
        <f t="shared" si="41"/>
        <v>82.261511023245447</v>
      </c>
      <c r="J84" s="6">
        <f t="shared" si="41"/>
        <v>43.075905169842066</v>
      </c>
      <c r="K84" s="6">
        <f t="shared" si="41"/>
        <v>22.556524890036926</v>
      </c>
      <c r="L84" s="6">
        <f t="shared" ref="L84:AJ94" si="52">CA84*L83+DI84</f>
        <v>11.811638729247786</v>
      </c>
      <c r="M84" s="6">
        <f t="shared" si="52"/>
        <v>6.1851293511326908</v>
      </c>
      <c r="N84" s="6">
        <f t="shared" si="52"/>
        <v>3.2388426918417639</v>
      </c>
      <c r="O84" s="6">
        <f t="shared" si="52"/>
        <v>1.6960545323489358</v>
      </c>
      <c r="P84" s="6">
        <f t="shared" si="52"/>
        <v>0.88822333687397981</v>
      </c>
      <c r="Q84" s="6">
        <f t="shared" si="52"/>
        <v>0.46528892071108163</v>
      </c>
      <c r="R84" s="6">
        <f t="shared" si="52"/>
        <v>0.24397970352298565</v>
      </c>
      <c r="S84" s="6">
        <f t="shared" si="52"/>
        <v>0.12839502452818344</v>
      </c>
      <c r="T84" s="6">
        <f t="shared" si="52"/>
        <v>6.8448189495594031E-2</v>
      </c>
      <c r="U84" s="6">
        <f t="shared" si="52"/>
        <v>3.8162236577762056E-2</v>
      </c>
      <c r="V84" s="6">
        <f t="shared" si="52"/>
        <v>2.441325284362697E-2</v>
      </c>
      <c r="W84" s="6">
        <f t="shared" si="52"/>
        <v>2.1243345341730231E-2</v>
      </c>
      <c r="X84" s="6">
        <f t="shared" si="52"/>
        <v>2.7278887487916591E-2</v>
      </c>
      <c r="Y84" s="6">
        <f t="shared" si="52"/>
        <v>4.5135280878866799E-2</v>
      </c>
      <c r="Z84" s="6">
        <f t="shared" si="52"/>
        <v>8.2550295983992661E-2</v>
      </c>
      <c r="AA84" s="6">
        <f t="shared" si="52"/>
        <v>0.15573710601551527</v>
      </c>
      <c r="AB84" s="6">
        <f t="shared" si="52"/>
        <v>0.296409995320428</v>
      </c>
      <c r="AC84" s="6">
        <f t="shared" si="52"/>
        <v>0.56552721593085953</v>
      </c>
      <c r="AD84" s="6">
        <f t="shared" si="52"/>
        <v>1.0797062301113298</v>
      </c>
      <c r="AE84" s="6">
        <f t="shared" si="52"/>
        <v>2.0617579440067102</v>
      </c>
      <c r="AF84" s="6">
        <f t="shared" si="52"/>
        <v>3.9372381003049979</v>
      </c>
      <c r="AG84" s="6">
        <f t="shared" si="52"/>
        <v>7.5188547667354513</v>
      </c>
      <c r="AH84" s="6">
        <f t="shared" si="52"/>
        <v>14.358641832084604</v>
      </c>
      <c r="AI84" s="6">
        <f t="shared" si="52"/>
        <v>27.420507024670414</v>
      </c>
      <c r="AJ84" s="6">
        <f t="shared" si="52"/>
        <v>52.364591927946748</v>
      </c>
      <c r="AK84" s="6">
        <f t="shared" si="42"/>
        <v>100</v>
      </c>
      <c r="AL84" s="24"/>
      <c r="AM84" s="4">
        <v>6.6666666666666666E-2</v>
      </c>
      <c r="AN84" s="6">
        <f t="shared" si="43"/>
        <v>-538200000</v>
      </c>
      <c r="AO84" s="6">
        <f t="shared" si="43"/>
        <v>-281826226.34617907</v>
      </c>
      <c r="AP84" s="6">
        <f t="shared" si="43"/>
        <v>-147577150.77570233</v>
      </c>
      <c r="AQ84" s="6">
        <f t="shared" si="43"/>
        <v>-77278173.874696672</v>
      </c>
      <c r="AR84" s="6">
        <f t="shared" si="43"/>
        <v>-40466405.65272624</v>
      </c>
      <c r="AS84" s="6">
        <f t="shared" si="43"/>
        <v>-21190079.880270526</v>
      </c>
      <c r="AT84" s="6">
        <f t="shared" si="43"/>
        <v>-11096122.055932045</v>
      </c>
      <c r="AU84" s="6">
        <f t="shared" si="43"/>
        <v>-5810483.7891641241</v>
      </c>
      <c r="AV84" s="6">
        <f t="shared" si="43"/>
        <v>-3042721.8310339907</v>
      </c>
      <c r="AW84" s="6">
        <f t="shared" si="43"/>
        <v>-1593472.6663519195</v>
      </c>
      <c r="AX84" s="6">
        <f t="shared" si="43"/>
        <v>-834728.32375568047</v>
      </c>
      <c r="AY84" s="6">
        <f t="shared" si="43"/>
        <v>-437699.58812023624</v>
      </c>
      <c r="AZ84" s="6">
        <f t="shared" si="43"/>
        <v>-230340.67400356109</v>
      </c>
      <c r="BA84" s="6">
        <f t="shared" si="43"/>
        <v>-122796.0519550957</v>
      </c>
      <c r="BB84" s="6">
        <f t="shared" si="43"/>
        <v>-68463.052420505119</v>
      </c>
      <c r="BC84" s="6">
        <f t="shared" si="43"/>
        <v>-43797.375601466774</v>
      </c>
      <c r="BD84" s="6">
        <f t="shared" si="47"/>
        <v>-38110.561543064025</v>
      </c>
      <c r="BE84" s="6">
        <f t="shared" si="47"/>
        <v>-48938.324153322355</v>
      </c>
      <c r="BF84" s="6">
        <f t="shared" si="47"/>
        <v>-80972.693896687037</v>
      </c>
      <c r="BG84" s="6">
        <f t="shared" si="47"/>
        <v>-148095.23099528282</v>
      </c>
      <c r="BH84" s="6">
        <f t="shared" si="47"/>
        <v>-279392.36819183442</v>
      </c>
      <c r="BI84" s="6">
        <f t="shared" si="47"/>
        <v>-531759.53160484775</v>
      </c>
      <c r="BJ84" s="6">
        <f t="shared" si="47"/>
        <v>-1014555.8253799618</v>
      </c>
      <c r="BK84" s="6">
        <f t="shared" si="47"/>
        <v>-1936992.9768197257</v>
      </c>
      <c r="BL84" s="6">
        <f t="shared" si="47"/>
        <v>-3698793.7515480374</v>
      </c>
      <c r="BM84" s="6">
        <f t="shared" si="47"/>
        <v>-7063405.1519471649</v>
      </c>
      <c r="BN84" s="6">
        <f t="shared" si="47"/>
        <v>-13488825.451523397</v>
      </c>
      <c r="BO84" s="6">
        <f t="shared" si="47"/>
        <v>-25759403.446759775</v>
      </c>
      <c r="BP84" s="6">
        <f t="shared" si="47"/>
        <v>-49192389.60225872</v>
      </c>
      <c r="BQ84" s="6">
        <f t="shared" si="47"/>
        <v>-93942077.918736458</v>
      </c>
      <c r="BR84" s="6">
        <f t="shared" si="47"/>
        <v>-179400000</v>
      </c>
      <c r="BT84" s="24"/>
      <c r="BU84" s="4">
        <v>6.6666666666666666E-2</v>
      </c>
      <c r="BV84" s="6">
        <f t="shared" si="44"/>
        <v>0.52364590379446463</v>
      </c>
      <c r="BW84" s="6">
        <f t="shared" si="44"/>
        <v>0.52364590379446463</v>
      </c>
      <c r="BX84" s="6">
        <f t="shared" si="44"/>
        <v>0.52364590379446463</v>
      </c>
      <c r="BY84" s="6">
        <f t="shared" si="44"/>
        <v>0.52364590379446463</v>
      </c>
      <c r="BZ84" s="6">
        <f t="shared" si="44"/>
        <v>0.52364590379446463</v>
      </c>
      <c r="CA84" s="6">
        <f t="shared" si="44"/>
        <v>0.52364590379446463</v>
      </c>
      <c r="CB84" s="6">
        <f t="shared" si="44"/>
        <v>0.52364590379446463</v>
      </c>
      <c r="CC84" s="6">
        <f t="shared" si="44"/>
        <v>0.52364590379446463</v>
      </c>
      <c r="CD84" s="6">
        <f t="shared" si="44"/>
        <v>0.52364590379446463</v>
      </c>
      <c r="CE84" s="6">
        <f t="shared" si="44"/>
        <v>0.52364590379446463</v>
      </c>
      <c r="CF84" s="6">
        <f t="shared" si="44"/>
        <v>0.52364590379446463</v>
      </c>
      <c r="CG84" s="6">
        <f t="shared" si="44"/>
        <v>0.52364590379446463</v>
      </c>
      <c r="CH84" s="6">
        <f t="shared" si="44"/>
        <v>0.52364590379446463</v>
      </c>
      <c r="CI84" s="6">
        <f t="shared" si="44"/>
        <v>0.52364590379446463</v>
      </c>
      <c r="CJ84" s="6">
        <f t="shared" si="44"/>
        <v>0.52364590379446463</v>
      </c>
      <c r="CK84" s="6">
        <f t="shared" si="44"/>
        <v>0.52364590379446463</v>
      </c>
      <c r="CL84" s="6">
        <f t="shared" si="50"/>
        <v>0.52364590379446463</v>
      </c>
      <c r="CM84" s="6">
        <f t="shared" si="50"/>
        <v>0.52364590379446463</v>
      </c>
      <c r="CN84" s="6">
        <f t="shared" si="50"/>
        <v>0.52364590379446463</v>
      </c>
      <c r="CO84" s="6">
        <f t="shared" si="50"/>
        <v>0.52364590379446463</v>
      </c>
      <c r="CP84" s="6">
        <f t="shared" si="50"/>
        <v>0.52364590379446463</v>
      </c>
      <c r="CQ84" s="6">
        <f t="shared" si="50"/>
        <v>0.52364590379446463</v>
      </c>
      <c r="CR84" s="6">
        <f t="shared" si="50"/>
        <v>0.52364590379446463</v>
      </c>
      <c r="CS84" s="6">
        <f t="shared" si="50"/>
        <v>0.52364590379446463</v>
      </c>
      <c r="CT84" s="6">
        <f t="shared" si="50"/>
        <v>0.52364590379446463</v>
      </c>
      <c r="CU84" s="6">
        <f t="shared" si="48"/>
        <v>0.52364590379446463</v>
      </c>
      <c r="CV84" s="6">
        <f t="shared" si="48"/>
        <v>0.52364590379446463</v>
      </c>
      <c r="CW84" s="6">
        <f t="shared" si="48"/>
        <v>0.52364590379446463</v>
      </c>
      <c r="CX84" s="6">
        <f t="shared" si="48"/>
        <v>0.52364590379446463</v>
      </c>
      <c r="CY84" s="6">
        <f t="shared" si="48"/>
        <v>0.52364590379446463</v>
      </c>
      <c r="CZ84" s="6">
        <f t="shared" si="48"/>
        <v>0.52364590379446463</v>
      </c>
      <c r="DB84" s="24"/>
      <c r="DC84" s="4">
        <v>6.6666666666666666E-2</v>
      </c>
      <c r="DD84" s="6">
        <f t="shared" si="45"/>
        <v>142.90622886166062</v>
      </c>
      <c r="DE84" s="6">
        <f t="shared" si="45"/>
        <v>74.832261615468653</v>
      </c>
      <c r="DF84" s="6">
        <f t="shared" si="45"/>
        <v>39.185607735979772</v>
      </c>
      <c r="DG84" s="6">
        <f t="shared" si="45"/>
        <v>20.519383875415464</v>
      </c>
      <c r="DH84" s="6">
        <f t="shared" si="45"/>
        <v>10.744893027531203</v>
      </c>
      <c r="DI84" s="6">
        <f t="shared" si="45"/>
        <v>5.626522491577127</v>
      </c>
      <c r="DJ84" s="6">
        <f t="shared" si="45"/>
        <v>2.946311701973142</v>
      </c>
      <c r="DK84" s="6">
        <f t="shared" si="45"/>
        <v>1.5428359832241865</v>
      </c>
      <c r="DL84" s="6">
        <f t="shared" si="45"/>
        <v>0.80792252387237917</v>
      </c>
      <c r="DM84" s="6">
        <f t="shared" si="45"/>
        <v>0.42310882486526935</v>
      </c>
      <c r="DN84" s="6">
        <f t="shared" si="45"/>
        <v>0.22164228329977631</v>
      </c>
      <c r="DO84" s="6">
        <f t="shared" si="45"/>
        <v>0.1162207311641863</v>
      </c>
      <c r="DP84" s="6">
        <f t="shared" si="45"/>
        <v>6.1161495866410356E-2</v>
      </c>
      <c r="DQ84" s="6">
        <f t="shared" si="45"/>
        <v>3.2605575444078917E-2</v>
      </c>
      <c r="DR84" s="6">
        <f t="shared" si="45"/>
        <v>1.8178737714181666E-2</v>
      </c>
      <c r="DS84" s="6">
        <f t="shared" si="45"/>
        <v>1.162935299376314E-2</v>
      </c>
      <c r="DT84" s="6">
        <f t="shared" si="51"/>
        <v>1.0119354570641972E-2</v>
      </c>
      <c r="DU84" s="6">
        <f t="shared" si="49"/>
        <v>1.2994409794798992E-2</v>
      </c>
      <c r="DV84" s="6">
        <f t="shared" si="49"/>
        <v>2.1500375930035575E-2</v>
      </c>
      <c r="DW84" s="6">
        <f t="shared" si="49"/>
        <v>3.932317163495426E-2</v>
      </c>
      <c r="DX84" s="6">
        <f t="shared" si="49"/>
        <v>7.418600838168643E-2</v>
      </c>
      <c r="DY84" s="6">
        <f t="shared" si="49"/>
        <v>0.14119611542714944</v>
      </c>
      <c r="DZ84" s="6">
        <f t="shared" si="49"/>
        <v>0.2693912058243772</v>
      </c>
      <c r="EA84" s="6">
        <f t="shared" si="49"/>
        <v>0.5143224854121683</v>
      </c>
      <c r="EB84" s="6">
        <f t="shared" si="49"/>
        <v>0.98212684201189904</v>
      </c>
      <c r="EC84" s="6">
        <f t="shared" si="49"/>
        <v>1.8755194968167861</v>
      </c>
      <c r="ED84" s="6">
        <f t="shared" si="49"/>
        <v>3.5816372669089471</v>
      </c>
      <c r="EE84" s="6">
        <f t="shared" si="49"/>
        <v>6.8397978526616532</v>
      </c>
      <c r="EF84" s="6">
        <f t="shared" si="49"/>
        <v>13.061870841234407</v>
      </c>
      <c r="EG84" s="6">
        <f t="shared" si="49"/>
        <v>24.944087861008743</v>
      </c>
      <c r="EH84" s="6">
        <f t="shared" si="49"/>
        <v>47.635409620553538</v>
      </c>
    </row>
    <row r="85" spans="5:138">
      <c r="E85" s="26"/>
      <c r="F85" s="4">
        <v>6.3333333333333339E-2</v>
      </c>
      <c r="G85" s="6">
        <f t="shared" si="40"/>
        <v>300</v>
      </c>
      <c r="H85" s="6">
        <f t="shared" si="46"/>
        <v>157.09377165338856</v>
      </c>
      <c r="I85" s="6">
        <f t="shared" si="46"/>
        <v>82.261511023245447</v>
      </c>
      <c r="J85" s="6">
        <f t="shared" si="46"/>
        <v>43.075905169842073</v>
      </c>
      <c r="K85" s="6">
        <f t="shared" si="46"/>
        <v>22.556524890036926</v>
      </c>
      <c r="L85" s="6">
        <f t="shared" si="52"/>
        <v>11.811638729247786</v>
      </c>
      <c r="M85" s="6">
        <f t="shared" si="52"/>
        <v>6.1851293511326908</v>
      </c>
      <c r="N85" s="6">
        <f t="shared" si="52"/>
        <v>3.2388426918417634</v>
      </c>
      <c r="O85" s="6">
        <f t="shared" si="52"/>
        <v>1.6960545323489358</v>
      </c>
      <c r="P85" s="6">
        <f t="shared" si="52"/>
        <v>0.88822333687397981</v>
      </c>
      <c r="Q85" s="6">
        <f t="shared" si="52"/>
        <v>0.46528892071108163</v>
      </c>
      <c r="R85" s="6">
        <f t="shared" si="52"/>
        <v>0.24397970352298567</v>
      </c>
      <c r="S85" s="6">
        <f t="shared" si="52"/>
        <v>0.12839502452818344</v>
      </c>
      <c r="T85" s="6">
        <f t="shared" si="52"/>
        <v>6.8448189495594031E-2</v>
      </c>
      <c r="U85" s="6">
        <f t="shared" si="52"/>
        <v>3.8162236577762056E-2</v>
      </c>
      <c r="V85" s="6">
        <f t="shared" si="52"/>
        <v>2.441325284362697E-2</v>
      </c>
      <c r="W85" s="6">
        <f t="shared" si="52"/>
        <v>2.1243345341730231E-2</v>
      </c>
      <c r="X85" s="6">
        <f t="shared" si="52"/>
        <v>2.7278887487916591E-2</v>
      </c>
      <c r="Y85" s="6">
        <f t="shared" si="52"/>
        <v>4.5135280878866799E-2</v>
      </c>
      <c r="Z85" s="6">
        <f t="shared" si="52"/>
        <v>8.2550295983992661E-2</v>
      </c>
      <c r="AA85" s="6">
        <f t="shared" si="52"/>
        <v>0.15573710601551527</v>
      </c>
      <c r="AB85" s="6">
        <f t="shared" si="52"/>
        <v>0.296409995320428</v>
      </c>
      <c r="AC85" s="6">
        <f t="shared" si="52"/>
        <v>0.56552721593085953</v>
      </c>
      <c r="AD85" s="6">
        <f t="shared" si="52"/>
        <v>1.0797062301113298</v>
      </c>
      <c r="AE85" s="6">
        <f t="shared" si="52"/>
        <v>2.0617579440067102</v>
      </c>
      <c r="AF85" s="6">
        <f t="shared" si="52"/>
        <v>3.9372381003049979</v>
      </c>
      <c r="AG85" s="6">
        <f t="shared" si="52"/>
        <v>7.5188547667354513</v>
      </c>
      <c r="AH85" s="6">
        <f t="shared" si="52"/>
        <v>14.358641832084604</v>
      </c>
      <c r="AI85" s="6">
        <f t="shared" si="52"/>
        <v>27.420507024670414</v>
      </c>
      <c r="AJ85" s="6">
        <f t="shared" si="52"/>
        <v>52.364591927946748</v>
      </c>
      <c r="AK85" s="6">
        <f t="shared" si="42"/>
        <v>100</v>
      </c>
      <c r="AL85" s="24"/>
      <c r="AM85" s="4">
        <v>6.3333333333333339E-2</v>
      </c>
      <c r="AN85" s="6">
        <f t="shared" si="43"/>
        <v>-538200000</v>
      </c>
      <c r="AO85" s="6">
        <f t="shared" si="43"/>
        <v>-281826226.34617907</v>
      </c>
      <c r="AP85" s="6">
        <f t="shared" si="43"/>
        <v>-147577150.77570233</v>
      </c>
      <c r="AQ85" s="6">
        <f t="shared" si="43"/>
        <v>-77278173.874696672</v>
      </c>
      <c r="AR85" s="6">
        <f t="shared" si="43"/>
        <v>-40466405.65272624</v>
      </c>
      <c r="AS85" s="6">
        <f t="shared" si="43"/>
        <v>-21190079.880270526</v>
      </c>
      <c r="AT85" s="6">
        <f t="shared" si="43"/>
        <v>-11096122.055932045</v>
      </c>
      <c r="AU85" s="6">
        <f t="shared" si="43"/>
        <v>-5810483.7891641241</v>
      </c>
      <c r="AV85" s="6">
        <f t="shared" si="43"/>
        <v>-3042721.8310339907</v>
      </c>
      <c r="AW85" s="6">
        <f t="shared" si="43"/>
        <v>-1593472.6663519195</v>
      </c>
      <c r="AX85" s="6">
        <f t="shared" si="43"/>
        <v>-834728.32375568047</v>
      </c>
      <c r="AY85" s="6">
        <f t="shared" si="43"/>
        <v>-437699.58812023624</v>
      </c>
      <c r="AZ85" s="6">
        <f t="shared" si="43"/>
        <v>-230340.67400356109</v>
      </c>
      <c r="BA85" s="6">
        <f t="shared" si="43"/>
        <v>-122796.0519550957</v>
      </c>
      <c r="BB85" s="6">
        <f t="shared" si="43"/>
        <v>-68463.052420505119</v>
      </c>
      <c r="BC85" s="6">
        <f t="shared" si="43"/>
        <v>-43797.375601466774</v>
      </c>
      <c r="BD85" s="6">
        <f t="shared" si="47"/>
        <v>-38110.561543064025</v>
      </c>
      <c r="BE85" s="6">
        <f t="shared" si="47"/>
        <v>-48938.324153322355</v>
      </c>
      <c r="BF85" s="6">
        <f t="shared" si="47"/>
        <v>-80972.693896687037</v>
      </c>
      <c r="BG85" s="6">
        <f t="shared" si="47"/>
        <v>-148095.23099528282</v>
      </c>
      <c r="BH85" s="6">
        <f t="shared" si="47"/>
        <v>-279392.36819183442</v>
      </c>
      <c r="BI85" s="6">
        <f t="shared" si="47"/>
        <v>-531759.53160484775</v>
      </c>
      <c r="BJ85" s="6">
        <f t="shared" si="47"/>
        <v>-1014555.8253799618</v>
      </c>
      <c r="BK85" s="6">
        <f t="shared" si="47"/>
        <v>-1936992.9768197257</v>
      </c>
      <c r="BL85" s="6">
        <f t="shared" si="47"/>
        <v>-3698793.7515480374</v>
      </c>
      <c r="BM85" s="6">
        <f t="shared" si="47"/>
        <v>-7063405.1519471649</v>
      </c>
      <c r="BN85" s="6">
        <f t="shared" si="47"/>
        <v>-13488825.451523397</v>
      </c>
      <c r="BO85" s="6">
        <f t="shared" si="47"/>
        <v>-25759403.446759775</v>
      </c>
      <c r="BP85" s="6">
        <f t="shared" si="47"/>
        <v>-49192389.60225872</v>
      </c>
      <c r="BQ85" s="6">
        <f t="shared" si="47"/>
        <v>-93942077.918736458</v>
      </c>
      <c r="BR85" s="6">
        <f t="shared" si="47"/>
        <v>-179400000</v>
      </c>
      <c r="BT85" s="24"/>
      <c r="BU85" s="4">
        <v>6.3333333333333339E-2</v>
      </c>
      <c r="BV85" s="6">
        <f t="shared" si="44"/>
        <v>0.52364590380555798</v>
      </c>
      <c r="BW85" s="6">
        <f t="shared" si="44"/>
        <v>0.52364590380555798</v>
      </c>
      <c r="BX85" s="6">
        <f t="shared" si="44"/>
        <v>0.52364590380555798</v>
      </c>
      <c r="BY85" s="6">
        <f t="shared" si="44"/>
        <v>0.52364590380555798</v>
      </c>
      <c r="BZ85" s="6">
        <f t="shared" si="44"/>
        <v>0.52364590380555798</v>
      </c>
      <c r="CA85" s="6">
        <f t="shared" si="44"/>
        <v>0.52364590380555798</v>
      </c>
      <c r="CB85" s="6">
        <f t="shared" si="44"/>
        <v>0.52364590380555798</v>
      </c>
      <c r="CC85" s="6">
        <f t="shared" si="44"/>
        <v>0.52364590380555798</v>
      </c>
      <c r="CD85" s="6">
        <f t="shared" si="44"/>
        <v>0.52364590380555798</v>
      </c>
      <c r="CE85" s="6">
        <f t="shared" si="44"/>
        <v>0.52364590380555798</v>
      </c>
      <c r="CF85" s="6">
        <f t="shared" si="44"/>
        <v>0.52364590380555798</v>
      </c>
      <c r="CG85" s="6">
        <f t="shared" si="44"/>
        <v>0.52364590380555798</v>
      </c>
      <c r="CH85" s="6">
        <f t="shared" si="44"/>
        <v>0.52364590380555798</v>
      </c>
      <c r="CI85" s="6">
        <f t="shared" si="44"/>
        <v>0.52364590380555798</v>
      </c>
      <c r="CJ85" s="6">
        <f t="shared" si="44"/>
        <v>0.52364590380555798</v>
      </c>
      <c r="CK85" s="6">
        <f t="shared" si="44"/>
        <v>0.52364590380555798</v>
      </c>
      <c r="CL85" s="6">
        <f t="shared" si="50"/>
        <v>0.52364590380555798</v>
      </c>
      <c r="CM85" s="6">
        <f t="shared" si="50"/>
        <v>0.52364590380555798</v>
      </c>
      <c r="CN85" s="6">
        <f t="shared" si="50"/>
        <v>0.52364590380555798</v>
      </c>
      <c r="CO85" s="6">
        <f t="shared" si="50"/>
        <v>0.52364590380555798</v>
      </c>
      <c r="CP85" s="6">
        <f t="shared" si="50"/>
        <v>0.52364590380555798</v>
      </c>
      <c r="CQ85" s="6">
        <f t="shared" si="50"/>
        <v>0.52364590380555798</v>
      </c>
      <c r="CR85" s="6">
        <f t="shared" si="50"/>
        <v>0.52364590380555798</v>
      </c>
      <c r="CS85" s="6">
        <f t="shared" si="50"/>
        <v>0.52364590380555798</v>
      </c>
      <c r="CT85" s="6">
        <f t="shared" si="50"/>
        <v>0.52364590380555798</v>
      </c>
      <c r="CU85" s="6">
        <f t="shared" si="48"/>
        <v>0.52364590380555798</v>
      </c>
      <c r="CV85" s="6">
        <f t="shared" si="48"/>
        <v>0.52364590380555798</v>
      </c>
      <c r="CW85" s="6">
        <f t="shared" si="48"/>
        <v>0.52364590380555798</v>
      </c>
      <c r="CX85" s="6">
        <f t="shared" si="48"/>
        <v>0.52364590380555798</v>
      </c>
      <c r="CY85" s="6">
        <f t="shared" si="48"/>
        <v>0.52364590380555798</v>
      </c>
      <c r="CZ85" s="6">
        <f t="shared" si="48"/>
        <v>0.52364590380555798</v>
      </c>
      <c r="DB85" s="24"/>
      <c r="DC85" s="4">
        <v>6.3333333333333339E-2</v>
      </c>
      <c r="DD85" s="6">
        <f t="shared" si="45"/>
        <v>142.90622885833261</v>
      </c>
      <c r="DE85" s="6">
        <f t="shared" si="45"/>
        <v>74.832261613725962</v>
      </c>
      <c r="DF85" s="6">
        <f t="shared" si="45"/>
        <v>39.185607735067215</v>
      </c>
      <c r="DG85" s="6">
        <f t="shared" si="45"/>
        <v>20.519383874937613</v>
      </c>
      <c r="DH85" s="6">
        <f t="shared" si="45"/>
        <v>10.744893027280975</v>
      </c>
      <c r="DI85" s="6">
        <f t="shared" si="45"/>
        <v>5.6265224914460976</v>
      </c>
      <c r="DJ85" s="6">
        <f t="shared" si="45"/>
        <v>2.9463117019045284</v>
      </c>
      <c r="DK85" s="6">
        <f t="shared" si="45"/>
        <v>1.542835983188257</v>
      </c>
      <c r="DL85" s="6">
        <f t="shared" si="45"/>
        <v>0.80792252385356433</v>
      </c>
      <c r="DM85" s="6">
        <f t="shared" si="45"/>
        <v>0.42310882485541601</v>
      </c>
      <c r="DN85" s="6">
        <f t="shared" si="45"/>
        <v>0.22164228329461472</v>
      </c>
      <c r="DO85" s="6">
        <f t="shared" si="45"/>
        <v>0.11622073116147977</v>
      </c>
      <c r="DP85" s="6">
        <f t="shared" si="45"/>
        <v>6.1161495864986037E-2</v>
      </c>
      <c r="DQ85" s="6">
        <f t="shared" si="45"/>
        <v>3.2605575443319601E-2</v>
      </c>
      <c r="DR85" s="6">
        <f t="shared" si="45"/>
        <v>1.817873771375832E-2</v>
      </c>
      <c r="DS85" s="6">
        <f t="shared" si="45"/>
        <v>1.1629352993492315E-2</v>
      </c>
      <c r="DT85" s="6">
        <f t="shared" si="51"/>
        <v>1.0119354570406313E-2</v>
      </c>
      <c r="DU85" s="6">
        <f t="shared" si="49"/>
        <v>1.299440979449638E-2</v>
      </c>
      <c r="DV85" s="6">
        <f t="shared" si="49"/>
        <v>2.1500375929534878E-2</v>
      </c>
      <c r="DW85" s="6">
        <f t="shared" si="49"/>
        <v>3.9323171634038506E-2</v>
      </c>
      <c r="DX85" s="6">
        <f t="shared" si="49"/>
        <v>7.4186008379958784E-2</v>
      </c>
      <c r="DY85" s="6">
        <f t="shared" si="49"/>
        <v>0.14119611542386126</v>
      </c>
      <c r="DZ85" s="6">
        <f t="shared" si="49"/>
        <v>0.26939120581810361</v>
      </c>
      <c r="EA85" s="6">
        <f t="shared" si="49"/>
        <v>0.51432248540019077</v>
      </c>
      <c r="EB85" s="6">
        <f t="shared" si="49"/>
        <v>0.98212684198902744</v>
      </c>
      <c r="EC85" s="6">
        <f t="shared" si="49"/>
        <v>1.875519496773109</v>
      </c>
      <c r="ED85" s="6">
        <f t="shared" si="49"/>
        <v>3.5816372668255383</v>
      </c>
      <c r="EE85" s="6">
        <f t="shared" si="49"/>
        <v>6.8397978525023682</v>
      </c>
      <c r="EF85" s="6">
        <f t="shared" si="49"/>
        <v>13.061870840930224</v>
      </c>
      <c r="EG85" s="6">
        <f t="shared" si="49"/>
        <v>24.944087860427846</v>
      </c>
      <c r="EH85" s="6">
        <f t="shared" si="49"/>
        <v>47.635409619444211</v>
      </c>
    </row>
    <row r="86" spans="5:138">
      <c r="E86" s="26"/>
      <c r="F86" s="4">
        <v>6.0000000000000005E-2</v>
      </c>
      <c r="G86" s="6">
        <f t="shared" si="40"/>
        <v>300</v>
      </c>
      <c r="H86" s="6">
        <f t="shared" si="46"/>
        <v>157.09377165338856</v>
      </c>
      <c r="I86" s="6">
        <f t="shared" si="46"/>
        <v>82.261511023245447</v>
      </c>
      <c r="J86" s="6">
        <f t="shared" si="46"/>
        <v>43.075905169842073</v>
      </c>
      <c r="K86" s="6">
        <f t="shared" si="46"/>
        <v>22.556524890036922</v>
      </c>
      <c r="L86" s="6">
        <f t="shared" si="52"/>
        <v>11.811638729247786</v>
      </c>
      <c r="M86" s="6">
        <f t="shared" si="52"/>
        <v>6.1851293511326899</v>
      </c>
      <c r="N86" s="6">
        <f t="shared" si="52"/>
        <v>3.2388426918417634</v>
      </c>
      <c r="O86" s="6">
        <f t="shared" si="52"/>
        <v>1.6960545323489358</v>
      </c>
      <c r="P86" s="6">
        <f t="shared" si="52"/>
        <v>0.88822333687397981</v>
      </c>
      <c r="Q86" s="6">
        <f t="shared" si="52"/>
        <v>0.46528892071108163</v>
      </c>
      <c r="R86" s="6">
        <f t="shared" si="52"/>
        <v>0.24397970352298565</v>
      </c>
      <c r="S86" s="6">
        <f t="shared" si="52"/>
        <v>0.12839502452818341</v>
      </c>
      <c r="T86" s="6">
        <f t="shared" si="52"/>
        <v>6.8448189495594031E-2</v>
      </c>
      <c r="U86" s="6">
        <f t="shared" si="52"/>
        <v>3.8162236577762049E-2</v>
      </c>
      <c r="V86" s="6">
        <f t="shared" si="52"/>
        <v>2.4413252843626967E-2</v>
      </c>
      <c r="W86" s="6">
        <f t="shared" si="52"/>
        <v>2.1243345341730231E-2</v>
      </c>
      <c r="X86" s="6">
        <f t="shared" si="52"/>
        <v>2.7278887487916591E-2</v>
      </c>
      <c r="Y86" s="6">
        <f t="shared" si="52"/>
        <v>4.5135280878866799E-2</v>
      </c>
      <c r="Z86" s="6">
        <f t="shared" si="52"/>
        <v>8.2550295983992661E-2</v>
      </c>
      <c r="AA86" s="6">
        <f t="shared" si="52"/>
        <v>0.15573710601551527</v>
      </c>
      <c r="AB86" s="6">
        <f t="shared" si="52"/>
        <v>0.29640999532042794</v>
      </c>
      <c r="AC86" s="6">
        <f t="shared" si="52"/>
        <v>0.56552721593085953</v>
      </c>
      <c r="AD86" s="6">
        <f t="shared" si="52"/>
        <v>1.0797062301113298</v>
      </c>
      <c r="AE86" s="6">
        <f t="shared" si="52"/>
        <v>2.0617579440067102</v>
      </c>
      <c r="AF86" s="6">
        <f t="shared" si="52"/>
        <v>3.9372381003049979</v>
      </c>
      <c r="AG86" s="6">
        <f t="shared" si="52"/>
        <v>7.5188547667354504</v>
      </c>
      <c r="AH86" s="6">
        <f t="shared" si="52"/>
        <v>14.358641832084604</v>
      </c>
      <c r="AI86" s="6">
        <f t="shared" si="52"/>
        <v>27.420507024670414</v>
      </c>
      <c r="AJ86" s="6">
        <f t="shared" si="52"/>
        <v>52.364591927946748</v>
      </c>
      <c r="AK86" s="6">
        <f t="shared" si="42"/>
        <v>100</v>
      </c>
      <c r="AL86" s="24"/>
      <c r="AM86" s="4">
        <v>6.0000000000000005E-2</v>
      </c>
      <c r="AN86" s="6">
        <f t="shared" si="43"/>
        <v>-538200000</v>
      </c>
      <c r="AO86" s="6">
        <f t="shared" si="43"/>
        <v>-281826226.34617907</v>
      </c>
      <c r="AP86" s="6">
        <f t="shared" si="43"/>
        <v>-147577150.77570233</v>
      </c>
      <c r="AQ86" s="6">
        <f t="shared" si="43"/>
        <v>-77278173.874696672</v>
      </c>
      <c r="AR86" s="6">
        <f t="shared" si="43"/>
        <v>-40466405.65272624</v>
      </c>
      <c r="AS86" s="6">
        <f t="shared" si="43"/>
        <v>-21190079.880270526</v>
      </c>
      <c r="AT86" s="6">
        <f t="shared" si="43"/>
        <v>-11096122.055932045</v>
      </c>
      <c r="AU86" s="6">
        <f t="shared" si="43"/>
        <v>-5810483.7891641241</v>
      </c>
      <c r="AV86" s="6">
        <f t="shared" si="43"/>
        <v>-3042721.8310339907</v>
      </c>
      <c r="AW86" s="6">
        <f t="shared" si="43"/>
        <v>-1593472.6663519195</v>
      </c>
      <c r="AX86" s="6">
        <f t="shared" si="43"/>
        <v>-834728.32375568047</v>
      </c>
      <c r="AY86" s="6">
        <f t="shared" si="43"/>
        <v>-437699.58812023624</v>
      </c>
      <c r="AZ86" s="6">
        <f t="shared" si="43"/>
        <v>-230340.67400356109</v>
      </c>
      <c r="BA86" s="6">
        <f t="shared" si="43"/>
        <v>-122796.0519550957</v>
      </c>
      <c r="BB86" s="6">
        <f t="shared" si="43"/>
        <v>-68463.052420505119</v>
      </c>
      <c r="BC86" s="6">
        <f t="shared" si="43"/>
        <v>-43797.375601466774</v>
      </c>
      <c r="BD86" s="6">
        <f t="shared" si="47"/>
        <v>-38110.561543064025</v>
      </c>
      <c r="BE86" s="6">
        <f t="shared" si="47"/>
        <v>-48938.324153322355</v>
      </c>
      <c r="BF86" s="6">
        <f t="shared" si="47"/>
        <v>-80972.693896687037</v>
      </c>
      <c r="BG86" s="6">
        <f t="shared" si="47"/>
        <v>-148095.23099528282</v>
      </c>
      <c r="BH86" s="6">
        <f t="shared" si="47"/>
        <v>-279392.36819183442</v>
      </c>
      <c r="BI86" s="6">
        <f t="shared" si="47"/>
        <v>-531759.53160484775</v>
      </c>
      <c r="BJ86" s="6">
        <f t="shared" si="47"/>
        <v>-1014555.8253799618</v>
      </c>
      <c r="BK86" s="6">
        <f t="shared" si="47"/>
        <v>-1936992.9768197257</v>
      </c>
      <c r="BL86" s="6">
        <f t="shared" si="47"/>
        <v>-3698793.7515480374</v>
      </c>
      <c r="BM86" s="6">
        <f t="shared" si="47"/>
        <v>-7063405.1519471649</v>
      </c>
      <c r="BN86" s="6">
        <f t="shared" si="47"/>
        <v>-13488825.451523397</v>
      </c>
      <c r="BO86" s="6">
        <f t="shared" si="47"/>
        <v>-25759403.446759775</v>
      </c>
      <c r="BP86" s="6">
        <f t="shared" si="47"/>
        <v>-49192389.60225872</v>
      </c>
      <c r="BQ86" s="6">
        <f t="shared" si="47"/>
        <v>-93942077.918736458</v>
      </c>
      <c r="BR86" s="6">
        <f t="shared" si="47"/>
        <v>-179400000</v>
      </c>
      <c r="BT86" s="24"/>
      <c r="BU86" s="4">
        <v>6.0000000000000005E-2</v>
      </c>
      <c r="BV86" s="6">
        <f t="shared" si="44"/>
        <v>0.52364590384601417</v>
      </c>
      <c r="BW86" s="6">
        <f t="shared" si="44"/>
        <v>0.52364590384601417</v>
      </c>
      <c r="BX86" s="6">
        <f t="shared" si="44"/>
        <v>0.52364590384601417</v>
      </c>
      <c r="BY86" s="6">
        <f t="shared" si="44"/>
        <v>0.52364590384601417</v>
      </c>
      <c r="BZ86" s="6">
        <f t="shared" si="44"/>
        <v>0.52364590384601417</v>
      </c>
      <c r="CA86" s="6">
        <f t="shared" si="44"/>
        <v>0.52364590384601417</v>
      </c>
      <c r="CB86" s="6">
        <f t="shared" si="44"/>
        <v>0.52364590384601417</v>
      </c>
      <c r="CC86" s="6">
        <f t="shared" si="44"/>
        <v>0.52364590384601417</v>
      </c>
      <c r="CD86" s="6">
        <f t="shared" si="44"/>
        <v>0.52364590384601417</v>
      </c>
      <c r="CE86" s="6">
        <f t="shared" si="44"/>
        <v>0.52364590384601417</v>
      </c>
      <c r="CF86" s="6">
        <f t="shared" si="44"/>
        <v>0.52364590384601417</v>
      </c>
      <c r="CG86" s="6">
        <f t="shared" si="44"/>
        <v>0.52364590384601417</v>
      </c>
      <c r="CH86" s="6">
        <f t="shared" si="44"/>
        <v>0.52364590384601417</v>
      </c>
      <c r="CI86" s="6">
        <f t="shared" si="44"/>
        <v>0.52364590384601417</v>
      </c>
      <c r="CJ86" s="6">
        <f t="shared" si="44"/>
        <v>0.52364590384601417</v>
      </c>
      <c r="CK86" s="6">
        <f t="shared" si="44"/>
        <v>0.52364590384601417</v>
      </c>
      <c r="CL86" s="6">
        <f t="shared" si="50"/>
        <v>0.52364590384601417</v>
      </c>
      <c r="CM86" s="6">
        <f t="shared" si="50"/>
        <v>0.52364590384601417</v>
      </c>
      <c r="CN86" s="6">
        <f t="shared" si="50"/>
        <v>0.52364590384601417</v>
      </c>
      <c r="CO86" s="6">
        <f t="shared" si="50"/>
        <v>0.52364590384601417</v>
      </c>
      <c r="CP86" s="6">
        <f t="shared" si="50"/>
        <v>0.52364590384601417</v>
      </c>
      <c r="CQ86" s="6">
        <f t="shared" si="50"/>
        <v>0.52364590384601417</v>
      </c>
      <c r="CR86" s="6">
        <f t="shared" si="50"/>
        <v>0.52364590384601417</v>
      </c>
      <c r="CS86" s="6">
        <f t="shared" si="50"/>
        <v>0.52364590384601417</v>
      </c>
      <c r="CT86" s="6">
        <f t="shared" si="50"/>
        <v>0.52364590384601417</v>
      </c>
      <c r="CU86" s="6">
        <f t="shared" si="48"/>
        <v>0.52364590384601417</v>
      </c>
      <c r="CV86" s="6">
        <f t="shared" si="48"/>
        <v>0.52364590384601417</v>
      </c>
      <c r="CW86" s="6">
        <f t="shared" si="48"/>
        <v>0.52364590384601417</v>
      </c>
      <c r="CX86" s="6">
        <f t="shared" si="48"/>
        <v>0.52364590384601417</v>
      </c>
      <c r="CY86" s="6">
        <f t="shared" si="48"/>
        <v>0.52364590384601417</v>
      </c>
      <c r="CZ86" s="6">
        <f t="shared" si="48"/>
        <v>0.52364590384601417</v>
      </c>
      <c r="DB86" s="24"/>
      <c r="DC86" s="4">
        <v>6.0000000000000005E-2</v>
      </c>
      <c r="DD86" s="6">
        <f t="shared" si="45"/>
        <v>142.90622884619575</v>
      </c>
      <c r="DE86" s="6">
        <f t="shared" si="45"/>
        <v>74.832261607370526</v>
      </c>
      <c r="DF86" s="6">
        <f t="shared" si="45"/>
        <v>39.185607731739218</v>
      </c>
      <c r="DG86" s="6">
        <f t="shared" si="45"/>
        <v>20.519383873194926</v>
      </c>
      <c r="DH86" s="6">
        <f t="shared" si="45"/>
        <v>10.744893026368421</v>
      </c>
      <c r="DI86" s="6">
        <f t="shared" si="45"/>
        <v>5.6265224909682425</v>
      </c>
      <c r="DJ86" s="6">
        <f t="shared" si="45"/>
        <v>2.946311701654301</v>
      </c>
      <c r="DK86" s="6">
        <f t="shared" si="45"/>
        <v>1.5428359830572258</v>
      </c>
      <c r="DL86" s="6">
        <f t="shared" si="45"/>
        <v>0.80792252378494833</v>
      </c>
      <c r="DM86" s="6">
        <f t="shared" si="45"/>
        <v>0.42310882481948187</v>
      </c>
      <c r="DN86" s="6">
        <f t="shared" si="45"/>
        <v>0.22164228327579086</v>
      </c>
      <c r="DO86" s="6">
        <f t="shared" si="45"/>
        <v>0.11622073115160925</v>
      </c>
      <c r="DP86" s="6">
        <f t="shared" si="45"/>
        <v>6.1161495859791651E-2</v>
      </c>
      <c r="DQ86" s="6">
        <f t="shared" si="45"/>
        <v>3.2605575440550441E-2</v>
      </c>
      <c r="DR86" s="6">
        <f t="shared" si="45"/>
        <v>1.8178737712214416E-2</v>
      </c>
      <c r="DS86" s="6">
        <f t="shared" si="45"/>
        <v>1.1629352992504647E-2</v>
      </c>
      <c r="DT86" s="6">
        <f t="shared" si="51"/>
        <v>1.0119354569546888E-2</v>
      </c>
      <c r="DU86" s="6">
        <f t="shared" si="49"/>
        <v>1.2994409793392779E-2</v>
      </c>
      <c r="DV86" s="6">
        <f t="shared" si="49"/>
        <v>2.150037592770887E-2</v>
      </c>
      <c r="DW86" s="6">
        <f t="shared" si="49"/>
        <v>3.9323171630698824E-2</v>
      </c>
      <c r="DX86" s="6">
        <f t="shared" si="49"/>
        <v>7.4186008373658241E-2</v>
      </c>
      <c r="DY86" s="6">
        <f t="shared" si="49"/>
        <v>0.1411961154118696</v>
      </c>
      <c r="DZ86" s="6">
        <f t="shared" si="49"/>
        <v>0.26939120579522452</v>
      </c>
      <c r="EA86" s="6">
        <f t="shared" si="49"/>
        <v>0.51432248535650993</v>
      </c>
      <c r="EB86" s="6">
        <f t="shared" si="49"/>
        <v>0.98212684190561639</v>
      </c>
      <c r="EC86" s="6">
        <f t="shared" si="49"/>
        <v>1.8755194966138233</v>
      </c>
      <c r="ED86" s="6">
        <f t="shared" si="49"/>
        <v>3.5816372665213532</v>
      </c>
      <c r="EE86" s="6">
        <f t="shared" si="49"/>
        <v>6.8397978519214719</v>
      </c>
      <c r="EF86" s="6">
        <f t="shared" si="49"/>
        <v>13.061870839820893</v>
      </c>
      <c r="EG86" s="6">
        <f t="shared" si="49"/>
        <v>24.944087858309373</v>
      </c>
      <c r="EH86" s="6">
        <f t="shared" si="49"/>
        <v>47.635409615398579</v>
      </c>
    </row>
    <row r="87" spans="5:138">
      <c r="E87" s="26"/>
      <c r="F87" s="4">
        <v>5.6666666666666671E-2</v>
      </c>
      <c r="G87" s="6">
        <f t="shared" si="40"/>
        <v>300</v>
      </c>
      <c r="H87" s="6">
        <f t="shared" si="46"/>
        <v>157.09377165338856</v>
      </c>
      <c r="I87" s="6">
        <f t="shared" si="46"/>
        <v>82.261511023245447</v>
      </c>
      <c r="J87" s="6">
        <f t="shared" si="46"/>
        <v>43.075905169842073</v>
      </c>
      <c r="K87" s="6">
        <f t="shared" si="46"/>
        <v>22.556524890036922</v>
      </c>
      <c r="L87" s="6">
        <f t="shared" si="52"/>
        <v>11.811638729247786</v>
      </c>
      <c r="M87" s="6">
        <f t="shared" si="52"/>
        <v>6.185129351132689</v>
      </c>
      <c r="N87" s="6">
        <f t="shared" si="52"/>
        <v>3.2388426918417634</v>
      </c>
      <c r="O87" s="6">
        <f t="shared" si="52"/>
        <v>1.6960545323489358</v>
      </c>
      <c r="P87" s="6">
        <f t="shared" si="52"/>
        <v>0.88822333687397981</v>
      </c>
      <c r="Q87" s="6">
        <f t="shared" si="52"/>
        <v>0.46528892071108163</v>
      </c>
      <c r="R87" s="6">
        <f t="shared" si="52"/>
        <v>0.24397970352298565</v>
      </c>
      <c r="S87" s="6">
        <f t="shared" si="52"/>
        <v>0.12839502452818341</v>
      </c>
      <c r="T87" s="6">
        <f t="shared" si="52"/>
        <v>6.8448189495594031E-2</v>
      </c>
      <c r="U87" s="6">
        <f t="shared" si="52"/>
        <v>3.8162236577762049E-2</v>
      </c>
      <c r="V87" s="6">
        <f t="shared" si="52"/>
        <v>2.4413252843626963E-2</v>
      </c>
      <c r="W87" s="6">
        <f t="shared" si="52"/>
        <v>2.1243345341730231E-2</v>
      </c>
      <c r="X87" s="6">
        <f t="shared" si="52"/>
        <v>2.7278887487916591E-2</v>
      </c>
      <c r="Y87" s="6">
        <f t="shared" si="52"/>
        <v>4.5135280878866799E-2</v>
      </c>
      <c r="Z87" s="6">
        <f t="shared" si="52"/>
        <v>8.2550295983992661E-2</v>
      </c>
      <c r="AA87" s="6">
        <f t="shared" si="52"/>
        <v>0.15573710601551527</v>
      </c>
      <c r="AB87" s="6">
        <f t="shared" si="52"/>
        <v>0.29640999532042794</v>
      </c>
      <c r="AC87" s="6">
        <f t="shared" si="52"/>
        <v>0.56552721593085953</v>
      </c>
      <c r="AD87" s="6">
        <f t="shared" si="52"/>
        <v>1.0797062301113298</v>
      </c>
      <c r="AE87" s="6">
        <f t="shared" si="52"/>
        <v>2.0617579440067102</v>
      </c>
      <c r="AF87" s="6">
        <f t="shared" si="52"/>
        <v>3.9372381003049979</v>
      </c>
      <c r="AG87" s="6">
        <f t="shared" si="52"/>
        <v>7.5188547667354495</v>
      </c>
      <c r="AH87" s="6">
        <f t="shared" si="52"/>
        <v>14.358641832084604</v>
      </c>
      <c r="AI87" s="6">
        <f t="shared" si="52"/>
        <v>27.420507024670414</v>
      </c>
      <c r="AJ87" s="6">
        <f t="shared" si="52"/>
        <v>52.364591927946748</v>
      </c>
      <c r="AK87" s="6">
        <f t="shared" si="42"/>
        <v>100</v>
      </c>
      <c r="AL87" s="24"/>
      <c r="AM87" s="4">
        <v>5.6666666666666671E-2</v>
      </c>
      <c r="AN87" s="6">
        <f t="shared" si="43"/>
        <v>-538200000</v>
      </c>
      <c r="AO87" s="6">
        <f t="shared" si="43"/>
        <v>-281826226.34617907</v>
      </c>
      <c r="AP87" s="6">
        <f t="shared" si="43"/>
        <v>-147577150.77570233</v>
      </c>
      <c r="AQ87" s="6">
        <f t="shared" si="43"/>
        <v>-77278173.874696672</v>
      </c>
      <c r="AR87" s="6">
        <f t="shared" si="43"/>
        <v>-40466405.65272624</v>
      </c>
      <c r="AS87" s="6">
        <f t="shared" si="43"/>
        <v>-21190079.880270526</v>
      </c>
      <c r="AT87" s="6">
        <f t="shared" si="43"/>
        <v>-11096122.055932045</v>
      </c>
      <c r="AU87" s="6">
        <f t="shared" si="43"/>
        <v>-5810483.7891641241</v>
      </c>
      <c r="AV87" s="6">
        <f t="shared" si="43"/>
        <v>-3042721.8310339907</v>
      </c>
      <c r="AW87" s="6">
        <f t="shared" si="43"/>
        <v>-1593472.6663519195</v>
      </c>
      <c r="AX87" s="6">
        <f t="shared" si="43"/>
        <v>-834728.32375568047</v>
      </c>
      <c r="AY87" s="6">
        <f t="shared" si="43"/>
        <v>-437699.58812023624</v>
      </c>
      <c r="AZ87" s="6">
        <f t="shared" si="43"/>
        <v>-230340.67400356109</v>
      </c>
      <c r="BA87" s="6">
        <f t="shared" si="43"/>
        <v>-122796.0519550957</v>
      </c>
      <c r="BB87" s="6">
        <f t="shared" si="43"/>
        <v>-68463.052420505119</v>
      </c>
      <c r="BC87" s="6">
        <f t="shared" si="43"/>
        <v>-43797.375601466774</v>
      </c>
      <c r="BD87" s="6">
        <f t="shared" si="47"/>
        <v>-38110.561543064025</v>
      </c>
      <c r="BE87" s="6">
        <f t="shared" si="47"/>
        <v>-48938.324153322355</v>
      </c>
      <c r="BF87" s="6">
        <f t="shared" si="47"/>
        <v>-80972.693896687037</v>
      </c>
      <c r="BG87" s="6">
        <f t="shared" si="47"/>
        <v>-148095.23099528282</v>
      </c>
      <c r="BH87" s="6">
        <f t="shared" si="47"/>
        <v>-279392.36819183442</v>
      </c>
      <c r="BI87" s="6">
        <f t="shared" si="47"/>
        <v>-531759.53160484775</v>
      </c>
      <c r="BJ87" s="6">
        <f t="shared" si="47"/>
        <v>-1014555.8253799618</v>
      </c>
      <c r="BK87" s="6">
        <f t="shared" si="47"/>
        <v>-1936992.9768197257</v>
      </c>
      <c r="BL87" s="6">
        <f t="shared" si="47"/>
        <v>-3698793.7515480374</v>
      </c>
      <c r="BM87" s="6">
        <f t="shared" si="47"/>
        <v>-7063405.1519471649</v>
      </c>
      <c r="BN87" s="6">
        <f t="shared" si="47"/>
        <v>-13488825.451523397</v>
      </c>
      <c r="BO87" s="6">
        <f t="shared" si="47"/>
        <v>-25759403.446759775</v>
      </c>
      <c r="BP87" s="6">
        <f t="shared" si="47"/>
        <v>-49192389.60225872</v>
      </c>
      <c r="BQ87" s="6">
        <f t="shared" si="47"/>
        <v>-93942077.918736458</v>
      </c>
      <c r="BR87" s="6">
        <f t="shared" si="47"/>
        <v>-179400000</v>
      </c>
      <c r="BT87" s="24"/>
      <c r="BU87" s="4">
        <v>5.6666666666666671E-2</v>
      </c>
      <c r="BV87" s="6">
        <f t="shared" si="44"/>
        <v>0.52364590399355426</v>
      </c>
      <c r="BW87" s="6">
        <f t="shared" si="44"/>
        <v>0.52364590399355426</v>
      </c>
      <c r="BX87" s="6">
        <f t="shared" si="44"/>
        <v>0.52364590399355426</v>
      </c>
      <c r="BY87" s="6">
        <f t="shared" si="44"/>
        <v>0.52364590399355426</v>
      </c>
      <c r="BZ87" s="6">
        <f t="shared" si="44"/>
        <v>0.52364590399355426</v>
      </c>
      <c r="CA87" s="6">
        <f t="shared" si="44"/>
        <v>0.52364590399355426</v>
      </c>
      <c r="CB87" s="6">
        <f t="shared" si="44"/>
        <v>0.52364590399355426</v>
      </c>
      <c r="CC87" s="6">
        <f t="shared" si="44"/>
        <v>0.52364590399355426</v>
      </c>
      <c r="CD87" s="6">
        <f t="shared" si="44"/>
        <v>0.52364590399355426</v>
      </c>
      <c r="CE87" s="6">
        <f t="shared" si="44"/>
        <v>0.52364590399355426</v>
      </c>
      <c r="CF87" s="6">
        <f t="shared" si="44"/>
        <v>0.52364590399355426</v>
      </c>
      <c r="CG87" s="6">
        <f t="shared" si="44"/>
        <v>0.52364590399355426</v>
      </c>
      <c r="CH87" s="6">
        <f t="shared" si="44"/>
        <v>0.52364590399355426</v>
      </c>
      <c r="CI87" s="6">
        <f t="shared" si="44"/>
        <v>0.52364590399355426</v>
      </c>
      <c r="CJ87" s="6">
        <f t="shared" si="44"/>
        <v>0.52364590399355426</v>
      </c>
      <c r="CK87" s="6">
        <f t="shared" si="44"/>
        <v>0.52364590399355426</v>
      </c>
      <c r="CL87" s="6">
        <f t="shared" si="50"/>
        <v>0.52364590399355426</v>
      </c>
      <c r="CM87" s="6">
        <f t="shared" si="50"/>
        <v>0.52364590399355426</v>
      </c>
      <c r="CN87" s="6">
        <f t="shared" si="50"/>
        <v>0.52364590399355426</v>
      </c>
      <c r="CO87" s="6">
        <f t="shared" si="50"/>
        <v>0.52364590399355426</v>
      </c>
      <c r="CP87" s="6">
        <f t="shared" si="50"/>
        <v>0.52364590399355426</v>
      </c>
      <c r="CQ87" s="6">
        <f t="shared" si="50"/>
        <v>0.52364590399355426</v>
      </c>
      <c r="CR87" s="6">
        <f t="shared" si="50"/>
        <v>0.52364590399355426</v>
      </c>
      <c r="CS87" s="6">
        <f t="shared" si="50"/>
        <v>0.52364590399355426</v>
      </c>
      <c r="CT87" s="6">
        <f t="shared" si="50"/>
        <v>0.52364590399355426</v>
      </c>
      <c r="CU87" s="6">
        <f t="shared" si="48"/>
        <v>0.52364590399355426</v>
      </c>
      <c r="CV87" s="6">
        <f t="shared" si="48"/>
        <v>0.52364590399355426</v>
      </c>
      <c r="CW87" s="6">
        <f t="shared" si="48"/>
        <v>0.52364590399355426</v>
      </c>
      <c r="CX87" s="6">
        <f t="shared" si="48"/>
        <v>0.52364590399355426</v>
      </c>
      <c r="CY87" s="6">
        <f t="shared" si="48"/>
        <v>0.52364590399355426</v>
      </c>
      <c r="CZ87" s="6">
        <f t="shared" si="48"/>
        <v>0.52364590399355426</v>
      </c>
      <c r="DB87" s="24"/>
      <c r="DC87" s="4">
        <v>5.6666666666666671E-2</v>
      </c>
      <c r="DD87" s="6">
        <f t="shared" si="45"/>
        <v>142.90622880193374</v>
      </c>
      <c r="DE87" s="6">
        <f t="shared" si="45"/>
        <v>74.832261584192906</v>
      </c>
      <c r="DF87" s="6">
        <f t="shared" si="45"/>
        <v>39.185607719602352</v>
      </c>
      <c r="DG87" s="6">
        <f t="shared" si="45"/>
        <v>20.519383866839505</v>
      </c>
      <c r="DH87" s="6">
        <f t="shared" si="45"/>
        <v>10.744893023040431</v>
      </c>
      <c r="DI87" s="6">
        <f t="shared" si="45"/>
        <v>5.6265224892255521</v>
      </c>
      <c r="DJ87" s="6">
        <f t="shared" si="45"/>
        <v>2.9463117007417465</v>
      </c>
      <c r="DK87" s="6">
        <f t="shared" si="45"/>
        <v>1.5428359825793667</v>
      </c>
      <c r="DL87" s="6">
        <f t="shared" si="45"/>
        <v>0.80792252353471239</v>
      </c>
      <c r="DM87" s="6">
        <f t="shared" si="45"/>
        <v>0.42310882468843336</v>
      </c>
      <c r="DN87" s="6">
        <f t="shared" si="45"/>
        <v>0.2216422832071421</v>
      </c>
      <c r="DO87" s="6">
        <f t="shared" si="45"/>
        <v>0.11622073111561247</v>
      </c>
      <c r="DP87" s="6">
        <f t="shared" si="45"/>
        <v>6.1161495840848248E-2</v>
      </c>
      <c r="DQ87" s="6">
        <f t="shared" si="45"/>
        <v>3.2605575430451589E-2</v>
      </c>
      <c r="DR87" s="6">
        <f t="shared" si="45"/>
        <v>1.8178737706583962E-2</v>
      </c>
      <c r="DS87" s="6">
        <f t="shared" si="45"/>
        <v>1.1629352988902712E-2</v>
      </c>
      <c r="DT87" s="6">
        <f t="shared" si="51"/>
        <v>1.0119354566412643E-2</v>
      </c>
      <c r="DU87" s="6">
        <f t="shared" si="49"/>
        <v>1.299440978936805E-2</v>
      </c>
      <c r="DV87" s="6">
        <f t="shared" si="49"/>
        <v>2.150037592104961E-2</v>
      </c>
      <c r="DW87" s="6">
        <f t="shared" si="49"/>
        <v>3.9323171618519344E-2</v>
      </c>
      <c r="DX87" s="6">
        <f t="shared" si="49"/>
        <v>7.4186008350680774E-2</v>
      </c>
      <c r="DY87" s="6">
        <f t="shared" si="49"/>
        <v>0.14119611536813725</v>
      </c>
      <c r="DZ87" s="6">
        <f t="shared" si="49"/>
        <v>0.2693912057117866</v>
      </c>
      <c r="EA87" s="6">
        <f t="shared" si="49"/>
        <v>0.51432248519721002</v>
      </c>
      <c r="EB87" s="6">
        <f t="shared" si="49"/>
        <v>0.98212684160142449</v>
      </c>
      <c r="EC87" s="6">
        <f t="shared" si="49"/>
        <v>1.8755194960329229</v>
      </c>
      <c r="ED87" s="6">
        <f t="shared" si="49"/>
        <v>3.5816372654120205</v>
      </c>
      <c r="EE87" s="6">
        <f t="shared" si="49"/>
        <v>6.8397978498029977</v>
      </c>
      <c r="EF87" s="6">
        <f t="shared" si="49"/>
        <v>13.06187083577527</v>
      </c>
      <c r="EG87" s="6">
        <f t="shared" si="49"/>
        <v>24.9440878505835</v>
      </c>
      <c r="EH87" s="6">
        <f t="shared" si="49"/>
        <v>47.635409600644564</v>
      </c>
    </row>
    <row r="88" spans="5:138">
      <c r="E88" s="26"/>
      <c r="F88" s="4">
        <v>5.3333333333333337E-2</v>
      </c>
      <c r="G88" s="6">
        <f t="shared" si="40"/>
        <v>300</v>
      </c>
      <c r="H88" s="6">
        <f t="shared" si="46"/>
        <v>157.09377165338856</v>
      </c>
      <c r="I88" s="6">
        <f t="shared" si="46"/>
        <v>82.261511023245447</v>
      </c>
      <c r="J88" s="6">
        <f t="shared" si="46"/>
        <v>43.075905169842073</v>
      </c>
      <c r="K88" s="6">
        <f t="shared" si="46"/>
        <v>22.556524890036922</v>
      </c>
      <c r="L88" s="6">
        <f t="shared" si="52"/>
        <v>11.811638729247786</v>
      </c>
      <c r="M88" s="6">
        <f t="shared" si="52"/>
        <v>6.185129351132689</v>
      </c>
      <c r="N88" s="6">
        <f t="shared" si="52"/>
        <v>3.2388426918417639</v>
      </c>
      <c r="O88" s="6">
        <f t="shared" si="52"/>
        <v>1.6960545323489358</v>
      </c>
      <c r="P88" s="6">
        <f t="shared" si="52"/>
        <v>0.88822333687397981</v>
      </c>
      <c r="Q88" s="6">
        <f t="shared" si="52"/>
        <v>0.46528892071108163</v>
      </c>
      <c r="R88" s="6">
        <f t="shared" si="52"/>
        <v>0.24397970352298565</v>
      </c>
      <c r="S88" s="6">
        <f t="shared" si="52"/>
        <v>0.12839502452818341</v>
      </c>
      <c r="T88" s="6">
        <f t="shared" si="52"/>
        <v>6.8448189495594031E-2</v>
      </c>
      <c r="U88" s="6">
        <f t="shared" si="52"/>
        <v>3.8162236577762049E-2</v>
      </c>
      <c r="V88" s="6">
        <f t="shared" si="52"/>
        <v>2.4413252843626963E-2</v>
      </c>
      <c r="W88" s="6">
        <f t="shared" si="52"/>
        <v>2.1243345341730231E-2</v>
      </c>
      <c r="X88" s="6">
        <f t="shared" si="52"/>
        <v>2.7278887487916591E-2</v>
      </c>
      <c r="Y88" s="6">
        <f t="shared" si="52"/>
        <v>4.5135280878866799E-2</v>
      </c>
      <c r="Z88" s="6">
        <f t="shared" si="52"/>
        <v>8.2550295983992661E-2</v>
      </c>
      <c r="AA88" s="6">
        <f t="shared" si="52"/>
        <v>0.15573710601551527</v>
      </c>
      <c r="AB88" s="6">
        <f t="shared" si="52"/>
        <v>0.29640999532042789</v>
      </c>
      <c r="AC88" s="6">
        <f t="shared" si="52"/>
        <v>0.56552721593085942</v>
      </c>
      <c r="AD88" s="6">
        <f t="shared" si="52"/>
        <v>1.0797062301113298</v>
      </c>
      <c r="AE88" s="6">
        <f t="shared" si="52"/>
        <v>2.0617579440067102</v>
      </c>
      <c r="AF88" s="6">
        <f t="shared" si="52"/>
        <v>3.9372381003049979</v>
      </c>
      <c r="AG88" s="6">
        <f t="shared" si="52"/>
        <v>7.5188547667354504</v>
      </c>
      <c r="AH88" s="6">
        <f t="shared" si="52"/>
        <v>14.358641832084604</v>
      </c>
      <c r="AI88" s="6">
        <f t="shared" si="52"/>
        <v>27.420507024670414</v>
      </c>
      <c r="AJ88" s="6">
        <f t="shared" si="52"/>
        <v>52.364591927946748</v>
      </c>
      <c r="AK88" s="6">
        <f t="shared" si="42"/>
        <v>100</v>
      </c>
      <c r="AL88" s="24"/>
      <c r="AM88" s="4">
        <v>5.3333333333333337E-2</v>
      </c>
      <c r="AN88" s="6">
        <f t="shared" si="43"/>
        <v>-538200000</v>
      </c>
      <c r="AO88" s="6">
        <f t="shared" si="43"/>
        <v>-281826226.34617907</v>
      </c>
      <c r="AP88" s="6">
        <f t="shared" si="43"/>
        <v>-147577150.77570233</v>
      </c>
      <c r="AQ88" s="6">
        <f t="shared" si="43"/>
        <v>-77278173.874696672</v>
      </c>
      <c r="AR88" s="6">
        <f t="shared" si="43"/>
        <v>-40466405.65272624</v>
      </c>
      <c r="AS88" s="6">
        <f t="shared" si="43"/>
        <v>-21190079.880270526</v>
      </c>
      <c r="AT88" s="6">
        <f t="shared" si="43"/>
        <v>-11096122.055932045</v>
      </c>
      <c r="AU88" s="6">
        <f t="shared" si="43"/>
        <v>-5810483.7891641241</v>
      </c>
      <c r="AV88" s="6">
        <f t="shared" si="43"/>
        <v>-3042721.8310339907</v>
      </c>
      <c r="AW88" s="6">
        <f t="shared" si="43"/>
        <v>-1593472.6663519195</v>
      </c>
      <c r="AX88" s="6">
        <f t="shared" si="43"/>
        <v>-834728.32375568047</v>
      </c>
      <c r="AY88" s="6">
        <f t="shared" si="43"/>
        <v>-437699.58812023624</v>
      </c>
      <c r="AZ88" s="6">
        <f t="shared" si="43"/>
        <v>-230340.67400356109</v>
      </c>
      <c r="BA88" s="6">
        <f t="shared" si="43"/>
        <v>-122796.0519550957</v>
      </c>
      <c r="BB88" s="6">
        <f t="shared" si="43"/>
        <v>-68463.052420505119</v>
      </c>
      <c r="BC88" s="6">
        <f t="shared" si="43"/>
        <v>-43797.375601466774</v>
      </c>
      <c r="BD88" s="6">
        <f t="shared" si="47"/>
        <v>-38110.561543064025</v>
      </c>
      <c r="BE88" s="6">
        <f t="shared" si="47"/>
        <v>-48938.324153322355</v>
      </c>
      <c r="BF88" s="6">
        <f t="shared" si="47"/>
        <v>-80972.693896687037</v>
      </c>
      <c r="BG88" s="6">
        <f t="shared" si="47"/>
        <v>-148095.23099528282</v>
      </c>
      <c r="BH88" s="6">
        <f t="shared" si="47"/>
        <v>-279392.36819183442</v>
      </c>
      <c r="BI88" s="6">
        <f t="shared" si="47"/>
        <v>-531759.53160484775</v>
      </c>
      <c r="BJ88" s="6">
        <f t="shared" si="47"/>
        <v>-1014555.8253799618</v>
      </c>
      <c r="BK88" s="6">
        <f t="shared" si="47"/>
        <v>-1936992.9768197257</v>
      </c>
      <c r="BL88" s="6">
        <f t="shared" si="47"/>
        <v>-3698793.7515480374</v>
      </c>
      <c r="BM88" s="6">
        <f t="shared" si="47"/>
        <v>-7063405.1519471649</v>
      </c>
      <c r="BN88" s="6">
        <f t="shared" si="47"/>
        <v>-13488825.451523397</v>
      </c>
      <c r="BO88" s="6">
        <f t="shared" si="47"/>
        <v>-25759403.446759775</v>
      </c>
      <c r="BP88" s="6">
        <f t="shared" si="47"/>
        <v>-49192389.60225872</v>
      </c>
      <c r="BQ88" s="6">
        <f t="shared" si="47"/>
        <v>-93942077.918736458</v>
      </c>
      <c r="BR88" s="6">
        <f t="shared" si="47"/>
        <v>-179400000</v>
      </c>
      <c r="BT88" s="24"/>
      <c r="BU88" s="4">
        <v>5.3333333333333337E-2</v>
      </c>
      <c r="BV88" s="6">
        <f t="shared" si="44"/>
        <v>0.52364590453161919</v>
      </c>
      <c r="BW88" s="6">
        <f t="shared" si="44"/>
        <v>0.52364590453161919</v>
      </c>
      <c r="BX88" s="6">
        <f t="shared" si="44"/>
        <v>0.52364590453161919</v>
      </c>
      <c r="BY88" s="6">
        <f t="shared" si="44"/>
        <v>0.52364590453161919</v>
      </c>
      <c r="BZ88" s="6">
        <f t="shared" si="44"/>
        <v>0.52364590453161919</v>
      </c>
      <c r="CA88" s="6">
        <f t="shared" si="44"/>
        <v>0.52364590453161919</v>
      </c>
      <c r="CB88" s="6">
        <f t="shared" si="44"/>
        <v>0.52364590453161919</v>
      </c>
      <c r="CC88" s="6">
        <f t="shared" si="44"/>
        <v>0.52364590453161919</v>
      </c>
      <c r="CD88" s="6">
        <f t="shared" si="44"/>
        <v>0.52364590453161919</v>
      </c>
      <c r="CE88" s="6">
        <f t="shared" si="44"/>
        <v>0.52364590453161919</v>
      </c>
      <c r="CF88" s="6">
        <f t="shared" si="44"/>
        <v>0.52364590453161919</v>
      </c>
      <c r="CG88" s="6">
        <f t="shared" si="44"/>
        <v>0.52364590453161919</v>
      </c>
      <c r="CH88" s="6">
        <f t="shared" si="44"/>
        <v>0.52364590453161919</v>
      </c>
      <c r="CI88" s="6">
        <f t="shared" si="44"/>
        <v>0.52364590453161919</v>
      </c>
      <c r="CJ88" s="6">
        <f t="shared" si="44"/>
        <v>0.52364590453161919</v>
      </c>
      <c r="CK88" s="6">
        <f t="shared" si="44"/>
        <v>0.52364590453161919</v>
      </c>
      <c r="CL88" s="6">
        <f t="shared" si="50"/>
        <v>0.52364590453161919</v>
      </c>
      <c r="CM88" s="6">
        <f t="shared" si="50"/>
        <v>0.52364590453161919</v>
      </c>
      <c r="CN88" s="6">
        <f t="shared" si="50"/>
        <v>0.52364590453161919</v>
      </c>
      <c r="CO88" s="6">
        <f t="shared" si="50"/>
        <v>0.52364590453161919</v>
      </c>
      <c r="CP88" s="6">
        <f t="shared" si="50"/>
        <v>0.52364590453161919</v>
      </c>
      <c r="CQ88" s="6">
        <f t="shared" si="50"/>
        <v>0.52364590453161919</v>
      </c>
      <c r="CR88" s="6">
        <f t="shared" si="50"/>
        <v>0.52364590453161919</v>
      </c>
      <c r="CS88" s="6">
        <f t="shared" si="50"/>
        <v>0.52364590453161919</v>
      </c>
      <c r="CT88" s="6">
        <f t="shared" si="50"/>
        <v>0.52364590453161919</v>
      </c>
      <c r="CU88" s="6">
        <f t="shared" si="48"/>
        <v>0.52364590453161919</v>
      </c>
      <c r="CV88" s="6">
        <f t="shared" si="48"/>
        <v>0.52364590453161919</v>
      </c>
      <c r="CW88" s="6">
        <f t="shared" si="48"/>
        <v>0.52364590453161919</v>
      </c>
      <c r="CX88" s="6">
        <f t="shared" si="48"/>
        <v>0.52364590453161919</v>
      </c>
      <c r="CY88" s="6">
        <f t="shared" si="48"/>
        <v>0.52364590453161919</v>
      </c>
      <c r="CZ88" s="6">
        <f t="shared" si="48"/>
        <v>0.52364590453161919</v>
      </c>
      <c r="DB88" s="24"/>
      <c r="DC88" s="4">
        <v>5.3333333333333337E-2</v>
      </c>
      <c r="DD88" s="6">
        <f t="shared" si="45"/>
        <v>142.90622864051426</v>
      </c>
      <c r="DE88" s="6">
        <f t="shared" si="45"/>
        <v>74.832261499666259</v>
      </c>
      <c r="DF88" s="6">
        <f t="shared" si="45"/>
        <v>39.185607675340322</v>
      </c>
      <c r="DG88" s="6">
        <f t="shared" si="45"/>
        <v>20.519383843661871</v>
      </c>
      <c r="DH88" s="6">
        <f t="shared" si="45"/>
        <v>10.744893010903557</v>
      </c>
      <c r="DI88" s="6">
        <f t="shared" si="45"/>
        <v>5.6265224828701248</v>
      </c>
      <c r="DJ88" s="6">
        <f t="shared" si="45"/>
        <v>2.9463116974137451</v>
      </c>
      <c r="DK88" s="6">
        <f t="shared" si="45"/>
        <v>1.5428359808366594</v>
      </c>
      <c r="DL88" s="6">
        <f t="shared" si="45"/>
        <v>0.80792252262212494</v>
      </c>
      <c r="DM88" s="6">
        <f t="shared" si="45"/>
        <v>0.42310882421051155</v>
      </c>
      <c r="DN88" s="6">
        <f t="shared" si="45"/>
        <v>0.22164228295678645</v>
      </c>
      <c r="DO88" s="6">
        <f t="shared" si="45"/>
        <v>0.11622073098433555</v>
      </c>
      <c r="DP88" s="6">
        <f t="shared" si="45"/>
        <v>6.1161495771763386E-2</v>
      </c>
      <c r="DQ88" s="6">
        <f t="shared" si="45"/>
        <v>3.2605575393622022E-2</v>
      </c>
      <c r="DR88" s="6">
        <f t="shared" si="45"/>
        <v>1.81787376860502E-2</v>
      </c>
      <c r="DS88" s="6">
        <f t="shared" si="45"/>
        <v>1.16293529757668E-2</v>
      </c>
      <c r="DT88" s="6">
        <f t="shared" si="51"/>
        <v>1.0119354554982344E-2</v>
      </c>
      <c r="DU88" s="6">
        <f t="shared" si="49"/>
        <v>1.2994409774690237E-2</v>
      </c>
      <c r="DV88" s="6">
        <f t="shared" si="49"/>
        <v>2.1500375896763901E-2</v>
      </c>
      <c r="DW88" s="6">
        <f t="shared" si="49"/>
        <v>3.932317157410193E-2</v>
      </c>
      <c r="DX88" s="6">
        <f t="shared" si="49"/>
        <v>7.418600826688411E-2</v>
      </c>
      <c r="DY88" s="6">
        <f t="shared" si="49"/>
        <v>0.14119611520864941</v>
      </c>
      <c r="DZ88" s="6">
        <f t="shared" si="49"/>
        <v>0.26939120540749617</v>
      </c>
      <c r="EA88" s="6">
        <f t="shared" si="49"/>
        <v>0.51432248461625796</v>
      </c>
      <c r="EB88" s="6">
        <f t="shared" si="49"/>
        <v>0.98212684049206489</v>
      </c>
      <c r="EC88" s="6">
        <f t="shared" si="49"/>
        <v>1.8755194939144331</v>
      </c>
      <c r="ED88" s="6">
        <f t="shared" si="49"/>
        <v>3.5816372613663892</v>
      </c>
      <c r="EE88" s="6">
        <f t="shared" si="49"/>
        <v>6.8397978420771164</v>
      </c>
      <c r="EF88" s="6">
        <f t="shared" si="49"/>
        <v>13.061870821021257</v>
      </c>
      <c r="EG88" s="6">
        <f t="shared" si="49"/>
        <v>24.944087822407948</v>
      </c>
      <c r="EH88" s="6">
        <f t="shared" si="49"/>
        <v>47.635409546838076</v>
      </c>
    </row>
    <row r="89" spans="5:138">
      <c r="E89" s="26"/>
      <c r="F89" s="4">
        <v>0.05</v>
      </c>
      <c r="G89" s="6">
        <f t="shared" si="40"/>
        <v>300</v>
      </c>
      <c r="H89" s="6">
        <f t="shared" si="46"/>
        <v>157.09377165338856</v>
      </c>
      <c r="I89" s="6">
        <f t="shared" si="46"/>
        <v>82.261511023245447</v>
      </c>
      <c r="J89" s="6">
        <f t="shared" si="46"/>
        <v>43.075905169842073</v>
      </c>
      <c r="K89" s="6">
        <f t="shared" si="46"/>
        <v>22.556524890036922</v>
      </c>
      <c r="L89" s="6">
        <f t="shared" si="52"/>
        <v>11.811638729247786</v>
      </c>
      <c r="M89" s="6">
        <f t="shared" si="52"/>
        <v>6.185129351132689</v>
      </c>
      <c r="N89" s="6">
        <f t="shared" si="52"/>
        <v>3.2388426918417639</v>
      </c>
      <c r="O89" s="6">
        <f t="shared" si="52"/>
        <v>1.6960545323489358</v>
      </c>
      <c r="P89" s="6">
        <f t="shared" si="52"/>
        <v>0.88822333687397981</v>
      </c>
      <c r="Q89" s="6">
        <f t="shared" si="52"/>
        <v>0.46528892071108163</v>
      </c>
      <c r="R89" s="6">
        <f t="shared" si="52"/>
        <v>0.24397970352298565</v>
      </c>
      <c r="S89" s="6">
        <f t="shared" si="52"/>
        <v>0.12839502452818341</v>
      </c>
      <c r="T89" s="6">
        <f t="shared" si="52"/>
        <v>6.8448189495594031E-2</v>
      </c>
      <c r="U89" s="6">
        <f t="shared" si="52"/>
        <v>3.8162236577762049E-2</v>
      </c>
      <c r="V89" s="6">
        <f t="shared" si="52"/>
        <v>2.4413252843626963E-2</v>
      </c>
      <c r="W89" s="6">
        <f t="shared" si="52"/>
        <v>2.1243345341730224E-2</v>
      </c>
      <c r="X89" s="6">
        <f t="shared" si="52"/>
        <v>2.7278887487916587E-2</v>
      </c>
      <c r="Y89" s="6">
        <f t="shared" si="52"/>
        <v>4.5135280878866799E-2</v>
      </c>
      <c r="Z89" s="6">
        <f t="shared" si="52"/>
        <v>8.2550295983992661E-2</v>
      </c>
      <c r="AA89" s="6">
        <f t="shared" si="52"/>
        <v>0.15573710601551527</v>
      </c>
      <c r="AB89" s="6">
        <f t="shared" si="52"/>
        <v>0.29640999532042789</v>
      </c>
      <c r="AC89" s="6">
        <f t="shared" si="52"/>
        <v>0.56552721593085942</v>
      </c>
      <c r="AD89" s="6">
        <f t="shared" si="52"/>
        <v>1.0797062301113298</v>
      </c>
      <c r="AE89" s="6">
        <f t="shared" si="52"/>
        <v>2.0617579440067098</v>
      </c>
      <c r="AF89" s="6">
        <f t="shared" si="52"/>
        <v>3.9372381003049974</v>
      </c>
      <c r="AG89" s="6">
        <f t="shared" si="52"/>
        <v>7.5188547667354495</v>
      </c>
      <c r="AH89" s="6">
        <f t="shared" si="52"/>
        <v>14.358641832084604</v>
      </c>
      <c r="AI89" s="6">
        <f t="shared" si="52"/>
        <v>27.420507024670414</v>
      </c>
      <c r="AJ89" s="6">
        <f t="shared" si="52"/>
        <v>52.364591927946748</v>
      </c>
      <c r="AK89" s="6">
        <f t="shared" si="42"/>
        <v>100</v>
      </c>
      <c r="AL89" s="24"/>
      <c r="AM89" s="4">
        <v>0.05</v>
      </c>
      <c r="AN89" s="6">
        <f t="shared" si="43"/>
        <v>-538200000</v>
      </c>
      <c r="AO89" s="6">
        <f t="shared" si="43"/>
        <v>-281826226.34617907</v>
      </c>
      <c r="AP89" s="6">
        <f t="shared" si="43"/>
        <v>-147577150.77570233</v>
      </c>
      <c r="AQ89" s="6">
        <f t="shared" si="43"/>
        <v>-77278173.874696672</v>
      </c>
      <c r="AR89" s="6">
        <f t="shared" si="43"/>
        <v>-40466405.65272624</v>
      </c>
      <c r="AS89" s="6">
        <f t="shared" si="43"/>
        <v>-21190079.880270526</v>
      </c>
      <c r="AT89" s="6">
        <f t="shared" si="43"/>
        <v>-11096122.055932045</v>
      </c>
      <c r="AU89" s="6">
        <f t="shared" si="43"/>
        <v>-5810483.7891641241</v>
      </c>
      <c r="AV89" s="6">
        <f t="shared" si="43"/>
        <v>-3042721.8310339907</v>
      </c>
      <c r="AW89" s="6">
        <f t="shared" si="43"/>
        <v>-1593472.6663519195</v>
      </c>
      <c r="AX89" s="6">
        <f t="shared" si="43"/>
        <v>-834728.32375568047</v>
      </c>
      <c r="AY89" s="6">
        <f t="shared" si="43"/>
        <v>-437699.58812023624</v>
      </c>
      <c r="AZ89" s="6">
        <f t="shared" si="43"/>
        <v>-230340.67400356109</v>
      </c>
      <c r="BA89" s="6">
        <f t="shared" si="43"/>
        <v>-122796.0519550957</v>
      </c>
      <c r="BB89" s="6">
        <f t="shared" si="43"/>
        <v>-68463.052420505119</v>
      </c>
      <c r="BC89" s="6">
        <f t="shared" si="43"/>
        <v>-43797.375601466774</v>
      </c>
      <c r="BD89" s="6">
        <f t="shared" si="47"/>
        <v>-38110.561543064025</v>
      </c>
      <c r="BE89" s="6">
        <f t="shared" si="47"/>
        <v>-48938.324153322355</v>
      </c>
      <c r="BF89" s="6">
        <f t="shared" si="47"/>
        <v>-80972.693896687037</v>
      </c>
      <c r="BG89" s="6">
        <f t="shared" si="47"/>
        <v>-148095.23099528282</v>
      </c>
      <c r="BH89" s="6">
        <f t="shared" si="47"/>
        <v>-279392.36819183442</v>
      </c>
      <c r="BI89" s="6">
        <f t="shared" si="47"/>
        <v>-531759.53160484775</v>
      </c>
      <c r="BJ89" s="6">
        <f t="shared" si="47"/>
        <v>-1014555.8253799618</v>
      </c>
      <c r="BK89" s="6">
        <f t="shared" si="47"/>
        <v>-1936992.9768197257</v>
      </c>
      <c r="BL89" s="6">
        <f t="shared" si="47"/>
        <v>-3698793.7515480374</v>
      </c>
      <c r="BM89" s="6">
        <f t="shared" si="47"/>
        <v>-7063405.1519471649</v>
      </c>
      <c r="BN89" s="6">
        <f t="shared" si="47"/>
        <v>-13488825.451523397</v>
      </c>
      <c r="BO89" s="6">
        <f t="shared" si="47"/>
        <v>-25759403.446759775</v>
      </c>
      <c r="BP89" s="6">
        <f t="shared" si="47"/>
        <v>-49192389.60225872</v>
      </c>
      <c r="BQ89" s="6">
        <f t="shared" si="47"/>
        <v>-93942077.918736458</v>
      </c>
      <c r="BR89" s="6">
        <f t="shared" si="47"/>
        <v>-179400000</v>
      </c>
      <c r="BT89" s="24"/>
      <c r="BU89" s="4">
        <v>0.05</v>
      </c>
      <c r="BV89" s="6">
        <f t="shared" si="44"/>
        <v>0.5236459064938912</v>
      </c>
      <c r="BW89" s="6">
        <f t="shared" si="44"/>
        <v>0.5236459064938912</v>
      </c>
      <c r="BX89" s="6">
        <f t="shared" si="44"/>
        <v>0.5236459064938912</v>
      </c>
      <c r="BY89" s="6">
        <f t="shared" si="44"/>
        <v>0.5236459064938912</v>
      </c>
      <c r="BZ89" s="6">
        <f t="shared" si="44"/>
        <v>0.5236459064938912</v>
      </c>
      <c r="CA89" s="6">
        <f t="shared" si="44"/>
        <v>0.5236459064938912</v>
      </c>
      <c r="CB89" s="6">
        <f t="shared" si="44"/>
        <v>0.5236459064938912</v>
      </c>
      <c r="CC89" s="6">
        <f t="shared" si="44"/>
        <v>0.5236459064938912</v>
      </c>
      <c r="CD89" s="6">
        <f t="shared" si="44"/>
        <v>0.5236459064938912</v>
      </c>
      <c r="CE89" s="6">
        <f t="shared" si="44"/>
        <v>0.5236459064938912</v>
      </c>
      <c r="CF89" s="6">
        <f t="shared" si="44"/>
        <v>0.5236459064938912</v>
      </c>
      <c r="CG89" s="6">
        <f t="shared" si="44"/>
        <v>0.5236459064938912</v>
      </c>
      <c r="CH89" s="6">
        <f t="shared" si="44"/>
        <v>0.5236459064938912</v>
      </c>
      <c r="CI89" s="6">
        <f t="shared" si="44"/>
        <v>0.5236459064938912</v>
      </c>
      <c r="CJ89" s="6">
        <f t="shared" si="44"/>
        <v>0.5236459064938912</v>
      </c>
      <c r="CK89" s="6">
        <f t="shared" si="44"/>
        <v>0.5236459064938912</v>
      </c>
      <c r="CL89" s="6">
        <f t="shared" si="50"/>
        <v>0.5236459064938912</v>
      </c>
      <c r="CM89" s="6">
        <f t="shared" si="50"/>
        <v>0.5236459064938912</v>
      </c>
      <c r="CN89" s="6">
        <f t="shared" si="50"/>
        <v>0.5236459064938912</v>
      </c>
      <c r="CO89" s="6">
        <f t="shared" si="50"/>
        <v>0.5236459064938912</v>
      </c>
      <c r="CP89" s="6">
        <f t="shared" si="50"/>
        <v>0.5236459064938912</v>
      </c>
      <c r="CQ89" s="6">
        <f t="shared" si="50"/>
        <v>0.5236459064938912</v>
      </c>
      <c r="CR89" s="6">
        <f t="shared" si="50"/>
        <v>0.5236459064938912</v>
      </c>
      <c r="CS89" s="6">
        <f t="shared" si="50"/>
        <v>0.5236459064938912</v>
      </c>
      <c r="CT89" s="6">
        <f t="shared" si="50"/>
        <v>0.5236459064938912</v>
      </c>
      <c r="CU89" s="6">
        <f t="shared" si="48"/>
        <v>0.5236459064938912</v>
      </c>
      <c r="CV89" s="6">
        <f t="shared" si="48"/>
        <v>0.5236459064938912</v>
      </c>
      <c r="CW89" s="6">
        <f t="shared" si="48"/>
        <v>0.5236459064938912</v>
      </c>
      <c r="CX89" s="6">
        <f t="shared" si="48"/>
        <v>0.5236459064938912</v>
      </c>
      <c r="CY89" s="6">
        <f t="shared" si="48"/>
        <v>0.5236459064938912</v>
      </c>
      <c r="CZ89" s="6">
        <f t="shared" si="48"/>
        <v>0.5236459064938912</v>
      </c>
      <c r="DB89" s="24"/>
      <c r="DC89" s="4">
        <v>0.05</v>
      </c>
      <c r="DD89" s="6">
        <f t="shared" si="45"/>
        <v>142.90622805183264</v>
      </c>
      <c r="DE89" s="6">
        <f t="shared" si="45"/>
        <v>74.83226119140555</v>
      </c>
      <c r="DF89" s="6">
        <f t="shared" si="45"/>
        <v>39.185607513920864</v>
      </c>
      <c r="DG89" s="6">
        <f t="shared" si="45"/>
        <v>20.519383759135223</v>
      </c>
      <c r="DH89" s="6">
        <f t="shared" si="45"/>
        <v>10.744892966641519</v>
      </c>
      <c r="DI89" s="6">
        <f t="shared" si="45"/>
        <v>5.6265224596924757</v>
      </c>
      <c r="DJ89" s="6">
        <f t="shared" si="45"/>
        <v>2.946311685276839</v>
      </c>
      <c r="DK89" s="6">
        <f t="shared" si="45"/>
        <v>1.5428359744811688</v>
      </c>
      <c r="DL89" s="6">
        <f t="shared" si="45"/>
        <v>0.80792251929400449</v>
      </c>
      <c r="DM89" s="6">
        <f t="shared" si="45"/>
        <v>0.4231088224675757</v>
      </c>
      <c r="DN89" s="6">
        <f t="shared" si="45"/>
        <v>0.22164228204376302</v>
      </c>
      <c r="DO89" s="6">
        <f t="shared" si="45"/>
        <v>0.116220730505581</v>
      </c>
      <c r="DP89" s="6">
        <f t="shared" si="45"/>
        <v>6.1161495519817421E-2</v>
      </c>
      <c r="DQ89" s="6">
        <f t="shared" si="45"/>
        <v>3.2605575259308052E-2</v>
      </c>
      <c r="DR89" s="6">
        <f t="shared" si="45"/>
        <v>1.8178737611165511E-2</v>
      </c>
      <c r="DS89" s="6">
        <f t="shared" si="45"/>
        <v>1.1629352927861355E-2</v>
      </c>
      <c r="DT89" s="6">
        <f t="shared" si="51"/>
        <v>1.0119354513297119E-2</v>
      </c>
      <c r="DU89" s="6">
        <f t="shared" si="49"/>
        <v>1.2994409721161638E-2</v>
      </c>
      <c r="DV89" s="6">
        <f t="shared" si="49"/>
        <v>2.1500375808196196E-2</v>
      </c>
      <c r="DW89" s="6">
        <f t="shared" si="49"/>
        <v>3.9323171412115797E-2</v>
      </c>
      <c r="DX89" s="6">
        <f t="shared" si="49"/>
        <v>7.4186007961285536E-2</v>
      </c>
      <c r="DY89" s="6">
        <f t="shared" si="49"/>
        <v>0.14119611462701237</v>
      </c>
      <c r="DZ89" s="6">
        <f t="shared" si="49"/>
        <v>0.26939120429777796</v>
      </c>
      <c r="EA89" s="6">
        <f t="shared" si="49"/>
        <v>0.51432248249758061</v>
      </c>
      <c r="EB89" s="6">
        <f t="shared" si="49"/>
        <v>0.98212683644633481</v>
      </c>
      <c r="EC89" s="6">
        <f t="shared" si="49"/>
        <v>1.8755194861885007</v>
      </c>
      <c r="ED89" s="6">
        <f t="shared" si="49"/>
        <v>3.5816372466123503</v>
      </c>
      <c r="EE89" s="6">
        <f t="shared" si="49"/>
        <v>6.8397978139015541</v>
      </c>
      <c r="EF89" s="6">
        <f t="shared" si="49"/>
        <v>13.061870767214762</v>
      </c>
      <c r="EG89" s="6">
        <f t="shared" si="49"/>
        <v>24.944087719654373</v>
      </c>
      <c r="EH89" s="6">
        <f t="shared" si="49"/>
        <v>47.635409350610871</v>
      </c>
    </row>
    <row r="90" spans="5:138">
      <c r="E90" s="26"/>
      <c r="F90" s="4">
        <v>4.6666666666666669E-2</v>
      </c>
      <c r="G90" s="6">
        <f t="shared" si="40"/>
        <v>300</v>
      </c>
      <c r="H90" s="6">
        <f t="shared" si="46"/>
        <v>157.09377165338856</v>
      </c>
      <c r="I90" s="6">
        <f t="shared" si="46"/>
        <v>82.261511023245447</v>
      </c>
      <c r="J90" s="6">
        <f t="shared" si="46"/>
        <v>43.075905169842073</v>
      </c>
      <c r="K90" s="6">
        <f t="shared" si="46"/>
        <v>22.556524890036926</v>
      </c>
      <c r="L90" s="6">
        <f t="shared" si="52"/>
        <v>11.811638729247786</v>
      </c>
      <c r="M90" s="6">
        <f t="shared" si="52"/>
        <v>6.185129351132689</v>
      </c>
      <c r="N90" s="6">
        <f t="shared" si="52"/>
        <v>3.2388426918417639</v>
      </c>
      <c r="O90" s="6">
        <f t="shared" si="52"/>
        <v>1.6960545323489358</v>
      </c>
      <c r="P90" s="6">
        <f t="shared" si="52"/>
        <v>0.88822333687397981</v>
      </c>
      <c r="Q90" s="6">
        <f t="shared" si="52"/>
        <v>0.46528892071108163</v>
      </c>
      <c r="R90" s="6">
        <f t="shared" si="52"/>
        <v>0.24397970352298565</v>
      </c>
      <c r="S90" s="6">
        <f t="shared" si="52"/>
        <v>0.12839502452818341</v>
      </c>
      <c r="T90" s="6">
        <f t="shared" si="52"/>
        <v>6.8448189495594031E-2</v>
      </c>
      <c r="U90" s="6">
        <f t="shared" si="52"/>
        <v>3.8162236577762049E-2</v>
      </c>
      <c r="V90" s="6">
        <f t="shared" si="52"/>
        <v>2.4413252843626963E-2</v>
      </c>
      <c r="W90" s="6">
        <f t="shared" si="52"/>
        <v>2.1243345341730224E-2</v>
      </c>
      <c r="X90" s="6">
        <f t="shared" si="52"/>
        <v>2.7278887487916587E-2</v>
      </c>
      <c r="Y90" s="6">
        <f t="shared" si="52"/>
        <v>4.5135280878866799E-2</v>
      </c>
      <c r="Z90" s="6">
        <f t="shared" si="52"/>
        <v>8.2550295983992661E-2</v>
      </c>
      <c r="AA90" s="6">
        <f t="shared" si="52"/>
        <v>0.15573710601551527</v>
      </c>
      <c r="AB90" s="6">
        <f t="shared" si="52"/>
        <v>0.29640999532042789</v>
      </c>
      <c r="AC90" s="6">
        <f t="shared" si="52"/>
        <v>0.56552721593085942</v>
      </c>
      <c r="AD90" s="6">
        <f t="shared" si="52"/>
        <v>1.0797062301113298</v>
      </c>
      <c r="AE90" s="6">
        <f t="shared" si="52"/>
        <v>2.0617579440067098</v>
      </c>
      <c r="AF90" s="6">
        <f t="shared" si="52"/>
        <v>3.937238100304997</v>
      </c>
      <c r="AG90" s="6">
        <f t="shared" si="52"/>
        <v>7.5188547667354495</v>
      </c>
      <c r="AH90" s="6">
        <f t="shared" si="52"/>
        <v>14.358641832084604</v>
      </c>
      <c r="AI90" s="6">
        <f t="shared" si="52"/>
        <v>27.420507024670414</v>
      </c>
      <c r="AJ90" s="6">
        <f t="shared" si="52"/>
        <v>52.364591927946748</v>
      </c>
      <c r="AK90" s="6">
        <f t="shared" si="42"/>
        <v>100</v>
      </c>
      <c r="AL90" s="24"/>
      <c r="AM90" s="4">
        <v>4.6666666666666669E-2</v>
      </c>
      <c r="AN90" s="6">
        <f t="shared" si="43"/>
        <v>-538200000</v>
      </c>
      <c r="AO90" s="6">
        <f t="shared" si="43"/>
        <v>-281826226.34617907</v>
      </c>
      <c r="AP90" s="6">
        <f t="shared" si="43"/>
        <v>-147577150.77570233</v>
      </c>
      <c r="AQ90" s="6">
        <f t="shared" si="43"/>
        <v>-77278173.874696672</v>
      </c>
      <c r="AR90" s="6">
        <f t="shared" si="43"/>
        <v>-40466405.65272624</v>
      </c>
      <c r="AS90" s="6">
        <f t="shared" si="43"/>
        <v>-21190079.880270526</v>
      </c>
      <c r="AT90" s="6">
        <f t="shared" si="43"/>
        <v>-11096122.055932045</v>
      </c>
      <c r="AU90" s="6">
        <f t="shared" si="43"/>
        <v>-5810483.7891641241</v>
      </c>
      <c r="AV90" s="6">
        <f t="shared" si="43"/>
        <v>-3042721.8310339907</v>
      </c>
      <c r="AW90" s="6">
        <f t="shared" si="43"/>
        <v>-1593472.6663519195</v>
      </c>
      <c r="AX90" s="6">
        <f t="shared" si="43"/>
        <v>-834728.32375568047</v>
      </c>
      <c r="AY90" s="6">
        <f t="shared" si="43"/>
        <v>-437699.58812023624</v>
      </c>
      <c r="AZ90" s="6">
        <f t="shared" si="43"/>
        <v>-230340.67400356109</v>
      </c>
      <c r="BA90" s="6">
        <f t="shared" si="43"/>
        <v>-122796.0519550957</v>
      </c>
      <c r="BB90" s="6">
        <f t="shared" si="43"/>
        <v>-68463.052420505119</v>
      </c>
      <c r="BC90" s="6">
        <f t="shared" si="43"/>
        <v>-43797.375601466774</v>
      </c>
      <c r="BD90" s="6">
        <f t="shared" si="47"/>
        <v>-38110.561543064025</v>
      </c>
      <c r="BE90" s="6">
        <f t="shared" si="47"/>
        <v>-48938.324153322355</v>
      </c>
      <c r="BF90" s="6">
        <f t="shared" si="47"/>
        <v>-80972.693896687037</v>
      </c>
      <c r="BG90" s="6">
        <f t="shared" si="47"/>
        <v>-148095.23099528282</v>
      </c>
      <c r="BH90" s="6">
        <f t="shared" si="47"/>
        <v>-279392.36819183442</v>
      </c>
      <c r="BI90" s="6">
        <f t="shared" si="47"/>
        <v>-531759.53160484775</v>
      </c>
      <c r="BJ90" s="6">
        <f t="shared" si="47"/>
        <v>-1014555.8253799618</v>
      </c>
      <c r="BK90" s="6">
        <f t="shared" si="47"/>
        <v>-1936992.9768197257</v>
      </c>
      <c r="BL90" s="6">
        <f t="shared" si="47"/>
        <v>-3698793.7515480374</v>
      </c>
      <c r="BM90" s="6">
        <f t="shared" si="47"/>
        <v>-7063405.1519471649</v>
      </c>
      <c r="BN90" s="6">
        <f t="shared" si="47"/>
        <v>-13488825.451523397</v>
      </c>
      <c r="BO90" s="6">
        <f t="shared" si="47"/>
        <v>-25759403.446759775</v>
      </c>
      <c r="BP90" s="6">
        <f t="shared" si="47"/>
        <v>-49192389.60225872</v>
      </c>
      <c r="BQ90" s="6">
        <f t="shared" si="47"/>
        <v>-93942077.918736458</v>
      </c>
      <c r="BR90" s="6">
        <f t="shared" si="47"/>
        <v>-179400000</v>
      </c>
      <c r="BT90" s="24"/>
      <c r="BU90" s="4">
        <v>4.6666666666666669E-2</v>
      </c>
      <c r="BV90" s="6">
        <f t="shared" si="44"/>
        <v>0.52364591365011315</v>
      </c>
      <c r="BW90" s="6">
        <f t="shared" si="44"/>
        <v>0.52364591365011315</v>
      </c>
      <c r="BX90" s="6">
        <f t="shared" si="44"/>
        <v>0.52364591365011315</v>
      </c>
      <c r="BY90" s="6">
        <f t="shared" si="44"/>
        <v>0.52364591365011315</v>
      </c>
      <c r="BZ90" s="6">
        <f t="shared" si="44"/>
        <v>0.52364591365011315</v>
      </c>
      <c r="CA90" s="6">
        <f t="shared" si="44"/>
        <v>0.52364591365011315</v>
      </c>
      <c r="CB90" s="6">
        <f t="shared" si="44"/>
        <v>0.52364591365011315</v>
      </c>
      <c r="CC90" s="6">
        <f t="shared" si="44"/>
        <v>0.52364591365011315</v>
      </c>
      <c r="CD90" s="6">
        <f t="shared" si="44"/>
        <v>0.52364591365011315</v>
      </c>
      <c r="CE90" s="6">
        <f t="shared" si="44"/>
        <v>0.52364591365011315</v>
      </c>
      <c r="CF90" s="6">
        <f t="shared" si="44"/>
        <v>0.52364591365011315</v>
      </c>
      <c r="CG90" s="6">
        <f t="shared" si="44"/>
        <v>0.52364591365011315</v>
      </c>
      <c r="CH90" s="6">
        <f t="shared" si="44"/>
        <v>0.52364591365011315</v>
      </c>
      <c r="CI90" s="6">
        <f t="shared" si="44"/>
        <v>0.52364591365011315</v>
      </c>
      <c r="CJ90" s="6">
        <f t="shared" si="44"/>
        <v>0.52364591365011315</v>
      </c>
      <c r="CK90" s="6">
        <f t="shared" si="44"/>
        <v>0.52364591365011315</v>
      </c>
      <c r="CL90" s="6">
        <f t="shared" si="50"/>
        <v>0.52364591365011315</v>
      </c>
      <c r="CM90" s="6">
        <f t="shared" si="50"/>
        <v>0.52364591365011315</v>
      </c>
      <c r="CN90" s="6">
        <f t="shared" si="50"/>
        <v>0.52364591365011315</v>
      </c>
      <c r="CO90" s="6">
        <f t="shared" si="50"/>
        <v>0.52364591365011315</v>
      </c>
      <c r="CP90" s="6">
        <f t="shared" si="50"/>
        <v>0.52364591365011315</v>
      </c>
      <c r="CQ90" s="6">
        <f t="shared" si="50"/>
        <v>0.52364591365011315</v>
      </c>
      <c r="CR90" s="6">
        <f t="shared" si="50"/>
        <v>0.52364591365011315</v>
      </c>
      <c r="CS90" s="6">
        <f t="shared" si="50"/>
        <v>0.52364591365011315</v>
      </c>
      <c r="CT90" s="6">
        <f t="shared" si="50"/>
        <v>0.52364591365011315</v>
      </c>
      <c r="CU90" s="6">
        <f t="shared" si="48"/>
        <v>0.52364591365011315</v>
      </c>
      <c r="CV90" s="6">
        <f t="shared" si="48"/>
        <v>0.52364591365011315</v>
      </c>
      <c r="CW90" s="6">
        <f t="shared" si="48"/>
        <v>0.52364591365011315</v>
      </c>
      <c r="CX90" s="6">
        <f t="shared" si="48"/>
        <v>0.52364591365011315</v>
      </c>
      <c r="CY90" s="6">
        <f t="shared" si="48"/>
        <v>0.52364591365011315</v>
      </c>
      <c r="CZ90" s="6">
        <f t="shared" si="48"/>
        <v>0.52364591365011315</v>
      </c>
      <c r="DB90" s="24"/>
      <c r="DC90" s="4">
        <v>4.6666666666666669E-2</v>
      </c>
      <c r="DD90" s="6">
        <f t="shared" si="45"/>
        <v>142.90622590496608</v>
      </c>
      <c r="DE90" s="6">
        <f t="shared" si="45"/>
        <v>74.832260067207656</v>
      </c>
      <c r="DF90" s="6">
        <f t="shared" si="45"/>
        <v>39.185606925239234</v>
      </c>
      <c r="DG90" s="6">
        <f t="shared" si="45"/>
        <v>20.519383450874489</v>
      </c>
      <c r="DH90" s="6">
        <f t="shared" si="45"/>
        <v>10.744892805222023</v>
      </c>
      <c r="DI90" s="6">
        <f t="shared" si="45"/>
        <v>5.6265223751657674</v>
      </c>
      <c r="DJ90" s="6">
        <f t="shared" si="45"/>
        <v>2.946311641014681</v>
      </c>
      <c r="DK90" s="6">
        <f t="shared" si="45"/>
        <v>1.5428359513032917</v>
      </c>
      <c r="DL90" s="6">
        <f t="shared" si="45"/>
        <v>0.80792250715666203</v>
      </c>
      <c r="DM90" s="6">
        <f t="shared" si="45"/>
        <v>0.42310881611125239</v>
      </c>
      <c r="DN90" s="6">
        <f t="shared" si="45"/>
        <v>0.22164227871405226</v>
      </c>
      <c r="DO90" s="6">
        <f t="shared" si="45"/>
        <v>0.11622072875960809</v>
      </c>
      <c r="DP90" s="6">
        <f t="shared" si="45"/>
        <v>6.116149460099414E-2</v>
      </c>
      <c r="DQ90" s="6">
        <f t="shared" si="45"/>
        <v>3.2605574769477619E-2</v>
      </c>
      <c r="DR90" s="6">
        <f t="shared" si="45"/>
        <v>1.8178737338068077E-2</v>
      </c>
      <c r="DS90" s="6">
        <f t="shared" si="45"/>
        <v>1.1629352753154701E-2</v>
      </c>
      <c r="DT90" s="6">
        <f t="shared" si="51"/>
        <v>1.0119354361275028E-2</v>
      </c>
      <c r="DU90" s="6">
        <f t="shared" si="49"/>
        <v>1.2994409525947865E-2</v>
      </c>
      <c r="DV90" s="6">
        <f t="shared" si="49"/>
        <v>2.150037548519811E-2</v>
      </c>
      <c r="DW90" s="6">
        <f t="shared" si="49"/>
        <v>3.9323170821367555E-2</v>
      </c>
      <c r="DX90" s="6">
        <f t="shared" si="49"/>
        <v>7.4186006846796243E-2</v>
      </c>
      <c r="DY90" s="6">
        <f t="shared" si="49"/>
        <v>0.14119611250583669</v>
      </c>
      <c r="DZ90" s="6">
        <f t="shared" si="49"/>
        <v>0.2693912002507397</v>
      </c>
      <c r="EA90" s="6">
        <f t="shared" si="49"/>
        <v>0.51432247477096316</v>
      </c>
      <c r="EB90" s="6">
        <f t="shared" si="49"/>
        <v>0.98212682169193743</v>
      </c>
      <c r="EC90" s="6">
        <f t="shared" si="49"/>
        <v>1.8755194580127512</v>
      </c>
      <c r="ED90" s="6">
        <f t="shared" si="49"/>
        <v>3.5816371928057573</v>
      </c>
      <c r="EE90" s="6">
        <f t="shared" si="49"/>
        <v>6.8397977111479262</v>
      </c>
      <c r="EF90" s="6">
        <f t="shared" si="49"/>
        <v>13.06187057098753</v>
      </c>
      <c r="EG90" s="6">
        <f t="shared" si="49"/>
        <v>24.944087344921734</v>
      </c>
      <c r="EH90" s="6">
        <f t="shared" si="49"/>
        <v>47.635408634988686</v>
      </c>
    </row>
    <row r="91" spans="5:138">
      <c r="E91" s="26"/>
      <c r="F91" s="4">
        <v>4.3333333333333335E-2</v>
      </c>
      <c r="G91" s="6">
        <f t="shared" si="40"/>
        <v>300</v>
      </c>
      <c r="H91" s="6">
        <f t="shared" si="46"/>
        <v>157.09377165338856</v>
      </c>
      <c r="I91" s="6">
        <f t="shared" si="46"/>
        <v>82.261511023245433</v>
      </c>
      <c r="J91" s="6">
        <f t="shared" si="46"/>
        <v>43.075905169842073</v>
      </c>
      <c r="K91" s="6">
        <f t="shared" si="46"/>
        <v>22.556524890036926</v>
      </c>
      <c r="L91" s="6">
        <f t="shared" si="52"/>
        <v>11.811638729247786</v>
      </c>
      <c r="M91" s="6">
        <f t="shared" si="52"/>
        <v>6.185129351132689</v>
      </c>
      <c r="N91" s="6">
        <f t="shared" si="52"/>
        <v>3.2388426918417639</v>
      </c>
      <c r="O91" s="6">
        <f t="shared" si="52"/>
        <v>1.6960545323489358</v>
      </c>
      <c r="P91" s="6">
        <f t="shared" si="52"/>
        <v>0.8882233368739797</v>
      </c>
      <c r="Q91" s="6">
        <f t="shared" si="52"/>
        <v>0.46528892071108163</v>
      </c>
      <c r="R91" s="6">
        <f t="shared" si="52"/>
        <v>0.24397970352298565</v>
      </c>
      <c r="S91" s="6">
        <f t="shared" si="52"/>
        <v>0.12839502452818341</v>
      </c>
      <c r="T91" s="6">
        <f t="shared" si="52"/>
        <v>6.8448189495594031E-2</v>
      </c>
      <c r="U91" s="6">
        <f t="shared" si="52"/>
        <v>3.8162236577762049E-2</v>
      </c>
      <c r="V91" s="6">
        <f t="shared" si="52"/>
        <v>2.4413252843626963E-2</v>
      </c>
      <c r="W91" s="6">
        <f t="shared" si="52"/>
        <v>2.1243345341730224E-2</v>
      </c>
      <c r="X91" s="6">
        <f t="shared" si="52"/>
        <v>2.7278887487916584E-2</v>
      </c>
      <c r="Y91" s="6">
        <f t="shared" si="52"/>
        <v>4.5135280878866799E-2</v>
      </c>
      <c r="Z91" s="6">
        <f t="shared" si="52"/>
        <v>8.2550295983992661E-2</v>
      </c>
      <c r="AA91" s="6">
        <f t="shared" si="52"/>
        <v>0.15573710601551527</v>
      </c>
      <c r="AB91" s="6">
        <f t="shared" si="52"/>
        <v>0.29640999532042789</v>
      </c>
      <c r="AC91" s="6">
        <f t="shared" si="52"/>
        <v>0.56552721593085942</v>
      </c>
      <c r="AD91" s="6">
        <f t="shared" si="52"/>
        <v>1.0797062301113298</v>
      </c>
      <c r="AE91" s="6">
        <f t="shared" si="52"/>
        <v>2.0617579440067098</v>
      </c>
      <c r="AF91" s="6">
        <f t="shared" si="52"/>
        <v>3.937238100304997</v>
      </c>
      <c r="AG91" s="6">
        <f t="shared" si="52"/>
        <v>7.5188547667354495</v>
      </c>
      <c r="AH91" s="6">
        <f t="shared" si="52"/>
        <v>14.358641832084603</v>
      </c>
      <c r="AI91" s="6">
        <f t="shared" si="52"/>
        <v>27.420507024670414</v>
      </c>
      <c r="AJ91" s="6">
        <f t="shared" si="52"/>
        <v>52.364591927946748</v>
      </c>
      <c r="AK91" s="6">
        <f t="shared" si="42"/>
        <v>100</v>
      </c>
      <c r="AL91" s="24"/>
      <c r="AM91" s="4">
        <v>4.3333333333333335E-2</v>
      </c>
      <c r="AN91" s="6">
        <f t="shared" si="43"/>
        <v>-538200000</v>
      </c>
      <c r="AO91" s="6">
        <f t="shared" si="43"/>
        <v>-281826226.34617907</v>
      </c>
      <c r="AP91" s="6">
        <f t="shared" si="43"/>
        <v>-147577150.77570233</v>
      </c>
      <c r="AQ91" s="6">
        <f t="shared" si="43"/>
        <v>-77278173.874696672</v>
      </c>
      <c r="AR91" s="6">
        <f t="shared" si="43"/>
        <v>-40466405.65272624</v>
      </c>
      <c r="AS91" s="6">
        <f t="shared" si="43"/>
        <v>-21190079.880270526</v>
      </c>
      <c r="AT91" s="6">
        <f t="shared" si="43"/>
        <v>-11096122.055932045</v>
      </c>
      <c r="AU91" s="6">
        <f t="shared" si="43"/>
        <v>-5810483.7891641241</v>
      </c>
      <c r="AV91" s="6">
        <f t="shared" si="43"/>
        <v>-3042721.8310339907</v>
      </c>
      <c r="AW91" s="6">
        <f t="shared" si="43"/>
        <v>-1593472.6663519195</v>
      </c>
      <c r="AX91" s="6">
        <f t="shared" si="43"/>
        <v>-834728.32375568047</v>
      </c>
      <c r="AY91" s="6">
        <f t="shared" si="43"/>
        <v>-437699.58812023624</v>
      </c>
      <c r="AZ91" s="6">
        <f t="shared" si="43"/>
        <v>-230340.67400356109</v>
      </c>
      <c r="BA91" s="6">
        <f t="shared" si="43"/>
        <v>-122796.0519550957</v>
      </c>
      <c r="BB91" s="6">
        <f t="shared" si="43"/>
        <v>-68463.052420505119</v>
      </c>
      <c r="BC91" s="6">
        <f t="shared" si="43"/>
        <v>-43797.375601466774</v>
      </c>
      <c r="BD91" s="6">
        <f t="shared" si="47"/>
        <v>-38110.561543064025</v>
      </c>
      <c r="BE91" s="6">
        <f t="shared" si="47"/>
        <v>-48938.324153322355</v>
      </c>
      <c r="BF91" s="6">
        <f t="shared" si="47"/>
        <v>-80972.693896687037</v>
      </c>
      <c r="BG91" s="6">
        <f t="shared" si="47"/>
        <v>-148095.23099528282</v>
      </c>
      <c r="BH91" s="6">
        <f t="shared" si="47"/>
        <v>-279392.36819183442</v>
      </c>
      <c r="BI91" s="6">
        <f t="shared" si="47"/>
        <v>-531759.53160484775</v>
      </c>
      <c r="BJ91" s="6">
        <f t="shared" si="47"/>
        <v>-1014555.8253799618</v>
      </c>
      <c r="BK91" s="6">
        <f t="shared" si="47"/>
        <v>-1936992.9768197257</v>
      </c>
      <c r="BL91" s="6">
        <f t="shared" si="47"/>
        <v>-3698793.7515480374</v>
      </c>
      <c r="BM91" s="6">
        <f t="shared" si="47"/>
        <v>-7063405.1519471649</v>
      </c>
      <c r="BN91" s="6">
        <f t="shared" si="47"/>
        <v>-13488825.451523397</v>
      </c>
      <c r="BO91" s="6">
        <f t="shared" si="47"/>
        <v>-25759403.446759775</v>
      </c>
      <c r="BP91" s="6">
        <f t="shared" si="47"/>
        <v>-49192389.60225872</v>
      </c>
      <c r="BQ91" s="6">
        <f t="shared" si="47"/>
        <v>-93942077.918736458</v>
      </c>
      <c r="BR91" s="6">
        <f t="shared" si="47"/>
        <v>-179400000</v>
      </c>
      <c r="BT91" s="24"/>
      <c r="BU91" s="4">
        <v>4.3333333333333335E-2</v>
      </c>
      <c r="BV91" s="6">
        <f t="shared" si="44"/>
        <v>0.52364593974818163</v>
      </c>
      <c r="BW91" s="6">
        <f t="shared" si="44"/>
        <v>0.52364593974818163</v>
      </c>
      <c r="BX91" s="6">
        <f t="shared" si="44"/>
        <v>0.52364593974818163</v>
      </c>
      <c r="BY91" s="6">
        <f t="shared" si="44"/>
        <v>0.52364593974818163</v>
      </c>
      <c r="BZ91" s="6">
        <f t="shared" si="44"/>
        <v>0.52364593974818163</v>
      </c>
      <c r="CA91" s="6">
        <f t="shared" si="44"/>
        <v>0.52364593974818163</v>
      </c>
      <c r="CB91" s="6">
        <f t="shared" si="44"/>
        <v>0.52364593974818163</v>
      </c>
      <c r="CC91" s="6">
        <f t="shared" si="44"/>
        <v>0.52364593974818163</v>
      </c>
      <c r="CD91" s="6">
        <f t="shared" si="44"/>
        <v>0.52364593974818163</v>
      </c>
      <c r="CE91" s="6">
        <f t="shared" si="44"/>
        <v>0.52364593974818163</v>
      </c>
      <c r="CF91" s="6">
        <f t="shared" si="44"/>
        <v>0.52364593974818163</v>
      </c>
      <c r="CG91" s="6">
        <f t="shared" si="44"/>
        <v>0.52364593974818163</v>
      </c>
      <c r="CH91" s="6">
        <f t="shared" si="44"/>
        <v>0.52364593974818163</v>
      </c>
      <c r="CI91" s="6">
        <f t="shared" si="44"/>
        <v>0.52364593974818163</v>
      </c>
      <c r="CJ91" s="6">
        <f t="shared" si="44"/>
        <v>0.52364593974818163</v>
      </c>
      <c r="CK91" s="6">
        <f t="shared" si="44"/>
        <v>0.52364593974818163</v>
      </c>
      <c r="CL91" s="6">
        <f t="shared" si="50"/>
        <v>0.52364593974818163</v>
      </c>
      <c r="CM91" s="6">
        <f t="shared" si="50"/>
        <v>0.52364593974818163</v>
      </c>
      <c r="CN91" s="6">
        <f t="shared" si="50"/>
        <v>0.52364593974818163</v>
      </c>
      <c r="CO91" s="6">
        <f t="shared" si="50"/>
        <v>0.52364593974818163</v>
      </c>
      <c r="CP91" s="6">
        <f t="shared" si="50"/>
        <v>0.52364593974818163</v>
      </c>
      <c r="CQ91" s="6">
        <f t="shared" si="50"/>
        <v>0.52364593974818163</v>
      </c>
      <c r="CR91" s="6">
        <f t="shared" si="50"/>
        <v>0.52364593974818163</v>
      </c>
      <c r="CS91" s="6">
        <f t="shared" si="50"/>
        <v>0.52364593974818163</v>
      </c>
      <c r="CT91" s="6">
        <f t="shared" si="50"/>
        <v>0.52364593974818163</v>
      </c>
      <c r="CU91" s="6">
        <f t="shared" si="48"/>
        <v>0.52364593974818163</v>
      </c>
      <c r="CV91" s="6">
        <f t="shared" si="48"/>
        <v>0.52364593974818163</v>
      </c>
      <c r="CW91" s="6">
        <f t="shared" si="48"/>
        <v>0.52364593974818163</v>
      </c>
      <c r="CX91" s="6">
        <f t="shared" si="48"/>
        <v>0.52364593974818163</v>
      </c>
      <c r="CY91" s="6">
        <f t="shared" si="48"/>
        <v>0.52364593974818163</v>
      </c>
      <c r="CZ91" s="6">
        <f t="shared" si="48"/>
        <v>0.52364593974818163</v>
      </c>
      <c r="DB91" s="24"/>
      <c r="DC91" s="4">
        <v>4.3333333333333335E-2</v>
      </c>
      <c r="DD91" s="6">
        <f t="shared" si="45"/>
        <v>142.90621807554552</v>
      </c>
      <c r="DE91" s="6">
        <f t="shared" si="45"/>
        <v>74.83225596736365</v>
      </c>
      <c r="DF91" s="6">
        <f t="shared" si="45"/>
        <v>39.185604778372671</v>
      </c>
      <c r="DG91" s="6">
        <f t="shared" si="45"/>
        <v>20.519382326676567</v>
      </c>
      <c r="DH91" s="6">
        <f t="shared" si="45"/>
        <v>10.744892216540288</v>
      </c>
      <c r="DI91" s="6">
        <f t="shared" si="45"/>
        <v>5.6265220669048102</v>
      </c>
      <c r="DJ91" s="6">
        <f t="shared" si="45"/>
        <v>2.9463114795947516</v>
      </c>
      <c r="DK91" s="6">
        <f t="shared" si="45"/>
        <v>1.5428358667757531</v>
      </c>
      <c r="DL91" s="6">
        <f t="shared" si="45"/>
        <v>0.80792246289291458</v>
      </c>
      <c r="DM91" s="6">
        <f t="shared" si="45"/>
        <v>0.42310879293033882</v>
      </c>
      <c r="DN91" s="6">
        <f t="shared" si="45"/>
        <v>0.22164226657091013</v>
      </c>
      <c r="DO91" s="6">
        <f t="shared" si="45"/>
        <v>0.11622072239220908</v>
      </c>
      <c r="DP91" s="6">
        <f t="shared" si="45"/>
        <v>6.116149125013199E-2</v>
      </c>
      <c r="DQ91" s="6">
        <f t="shared" si="45"/>
        <v>3.2605572983112084E-2</v>
      </c>
      <c r="DR91" s="6">
        <f t="shared" si="45"/>
        <v>1.8178736342107413E-2</v>
      </c>
      <c r="DS91" s="6">
        <f t="shared" si="45"/>
        <v>1.1629352116015955E-2</v>
      </c>
      <c r="DT91" s="6">
        <f t="shared" si="51"/>
        <v>1.0119353806864746E-2</v>
      </c>
      <c r="DU91" s="6">
        <f t="shared" si="49"/>
        <v>1.299440881402159E-2</v>
      </c>
      <c r="DV91" s="6">
        <f t="shared" si="49"/>
        <v>2.1500374307254457E-2</v>
      </c>
      <c r="DW91" s="6">
        <f t="shared" si="49"/>
        <v>3.9323168666964274E-2</v>
      </c>
      <c r="DX91" s="6">
        <f t="shared" si="49"/>
        <v>7.4186002782358595E-2</v>
      </c>
      <c r="DY91" s="6">
        <f t="shared" si="49"/>
        <v>0.14119610477010833</v>
      </c>
      <c r="DZ91" s="6">
        <f t="shared" si="49"/>
        <v>0.26939118549157171</v>
      </c>
      <c r="EA91" s="6">
        <f t="shared" si="49"/>
        <v>0.51432244659271598</v>
      </c>
      <c r="EB91" s="6">
        <f t="shared" si="49"/>
        <v>0.9821267678840373</v>
      </c>
      <c r="EC91" s="6">
        <f t="shared" si="49"/>
        <v>1.8755193552584415</v>
      </c>
      <c r="ED91" s="6">
        <f t="shared" si="49"/>
        <v>3.5816369965781703</v>
      </c>
      <c r="EE91" s="6">
        <f t="shared" si="49"/>
        <v>6.8397973364151072</v>
      </c>
      <c r="EF91" s="6">
        <f t="shared" si="49"/>
        <v>13.061869855365257</v>
      </c>
      <c r="EG91" s="6">
        <f t="shared" si="49"/>
        <v>24.944085978307026</v>
      </c>
      <c r="EH91" s="6">
        <f t="shared" si="49"/>
        <v>47.635406025181837</v>
      </c>
    </row>
    <row r="92" spans="5:138">
      <c r="E92" s="26"/>
      <c r="F92" s="4">
        <v>0.04</v>
      </c>
      <c r="G92" s="6">
        <f t="shared" si="40"/>
        <v>300</v>
      </c>
      <c r="H92" s="6">
        <f t="shared" ref="H92:P104" si="53">BW92*H91+DE92</f>
        <v>157.09377165338856</v>
      </c>
      <c r="I92" s="6">
        <f t="shared" si="53"/>
        <v>82.261511023245419</v>
      </c>
      <c r="J92" s="6">
        <f t="shared" si="53"/>
        <v>43.075905169842073</v>
      </c>
      <c r="K92" s="6">
        <f t="shared" si="53"/>
        <v>22.556524890036922</v>
      </c>
      <c r="L92" s="6">
        <f t="shared" si="52"/>
        <v>11.811638729247786</v>
      </c>
      <c r="M92" s="6">
        <f t="shared" si="52"/>
        <v>6.185129351132689</v>
      </c>
      <c r="N92" s="6">
        <f t="shared" si="52"/>
        <v>3.2388426918417634</v>
      </c>
      <c r="O92" s="6">
        <f t="shared" si="52"/>
        <v>1.6960545323489358</v>
      </c>
      <c r="P92" s="6">
        <f t="shared" si="52"/>
        <v>0.88822333687397959</v>
      </c>
      <c r="Q92" s="6">
        <f t="shared" si="52"/>
        <v>0.46528892071108163</v>
      </c>
      <c r="R92" s="6">
        <f t="shared" si="52"/>
        <v>0.24397970352298562</v>
      </c>
      <c r="S92" s="6">
        <f t="shared" si="52"/>
        <v>0.12839502452818341</v>
      </c>
      <c r="T92" s="6">
        <f t="shared" si="52"/>
        <v>6.8448189495594031E-2</v>
      </c>
      <c r="U92" s="6">
        <f t="shared" si="52"/>
        <v>3.8162236577762049E-2</v>
      </c>
      <c r="V92" s="6">
        <f t="shared" si="52"/>
        <v>2.4413252843626963E-2</v>
      </c>
      <c r="W92" s="6">
        <f t="shared" si="52"/>
        <v>2.1243345341730224E-2</v>
      </c>
      <c r="X92" s="6">
        <f t="shared" si="52"/>
        <v>2.7278887487916584E-2</v>
      </c>
      <c r="Y92" s="6">
        <f t="shared" si="52"/>
        <v>4.5135280878866799E-2</v>
      </c>
      <c r="Z92" s="6">
        <f t="shared" si="52"/>
        <v>8.2550295983992647E-2</v>
      </c>
      <c r="AA92" s="6">
        <f t="shared" si="52"/>
        <v>0.15573710601551527</v>
      </c>
      <c r="AB92" s="6">
        <f t="shared" si="52"/>
        <v>0.29640999532042789</v>
      </c>
      <c r="AC92" s="6">
        <f t="shared" si="52"/>
        <v>0.56552721593085942</v>
      </c>
      <c r="AD92" s="6">
        <f t="shared" si="52"/>
        <v>1.0797062301113298</v>
      </c>
      <c r="AE92" s="6">
        <f t="shared" si="52"/>
        <v>2.0617579440067093</v>
      </c>
      <c r="AF92" s="6">
        <f t="shared" si="52"/>
        <v>3.9372381003049965</v>
      </c>
      <c r="AG92" s="6">
        <f t="shared" si="52"/>
        <v>7.5188547667354495</v>
      </c>
      <c r="AH92" s="6">
        <f t="shared" si="52"/>
        <v>14.358641832084601</v>
      </c>
      <c r="AI92" s="6">
        <f t="shared" si="52"/>
        <v>27.42050702467041</v>
      </c>
      <c r="AJ92" s="6">
        <f t="shared" si="52"/>
        <v>52.364591927946748</v>
      </c>
      <c r="AK92" s="6">
        <f t="shared" si="42"/>
        <v>100</v>
      </c>
      <c r="AL92" s="24"/>
      <c r="AM92" s="4">
        <v>0.04</v>
      </c>
      <c r="AN92" s="6">
        <f t="shared" si="43"/>
        <v>-538200000</v>
      </c>
      <c r="AO92" s="6">
        <f t="shared" si="43"/>
        <v>-281826226.34617907</v>
      </c>
      <c r="AP92" s="6">
        <f t="shared" si="43"/>
        <v>-147577150.77570233</v>
      </c>
      <c r="AQ92" s="6">
        <f t="shared" si="43"/>
        <v>-77278173.874696672</v>
      </c>
      <c r="AR92" s="6">
        <f t="shared" si="43"/>
        <v>-40466405.65272624</v>
      </c>
      <c r="AS92" s="6">
        <f t="shared" si="43"/>
        <v>-21190079.880270526</v>
      </c>
      <c r="AT92" s="6">
        <f t="shared" si="43"/>
        <v>-11096122.055932045</v>
      </c>
      <c r="AU92" s="6">
        <f t="shared" si="43"/>
        <v>-5810483.7891641241</v>
      </c>
      <c r="AV92" s="6">
        <f t="shared" si="43"/>
        <v>-3042721.8310339907</v>
      </c>
      <c r="AW92" s="6">
        <f t="shared" si="43"/>
        <v>-1593472.6663519195</v>
      </c>
      <c r="AX92" s="6">
        <f t="shared" si="43"/>
        <v>-834728.32375568047</v>
      </c>
      <c r="AY92" s="6">
        <f t="shared" si="43"/>
        <v>-437699.58812023624</v>
      </c>
      <c r="AZ92" s="6">
        <f t="shared" si="43"/>
        <v>-230340.67400356109</v>
      </c>
      <c r="BA92" s="6">
        <f t="shared" si="43"/>
        <v>-122796.0519550957</v>
      </c>
      <c r="BB92" s="6">
        <f t="shared" si="43"/>
        <v>-68463.052420505119</v>
      </c>
      <c r="BC92" s="6">
        <f t="shared" si="43"/>
        <v>-43797.375601466774</v>
      </c>
      <c r="BD92" s="6">
        <f t="shared" si="47"/>
        <v>-38110.561543064025</v>
      </c>
      <c r="BE92" s="6">
        <f t="shared" si="47"/>
        <v>-48938.324153322355</v>
      </c>
      <c r="BF92" s="6">
        <f t="shared" si="47"/>
        <v>-80972.693896687037</v>
      </c>
      <c r="BG92" s="6">
        <f t="shared" si="47"/>
        <v>-148095.23099528282</v>
      </c>
      <c r="BH92" s="6">
        <f t="shared" si="47"/>
        <v>-279392.36819183442</v>
      </c>
      <c r="BI92" s="6">
        <f t="shared" si="47"/>
        <v>-531759.53160484775</v>
      </c>
      <c r="BJ92" s="6">
        <f t="shared" si="47"/>
        <v>-1014555.8253799618</v>
      </c>
      <c r="BK92" s="6">
        <f t="shared" si="47"/>
        <v>-1936992.9768197257</v>
      </c>
      <c r="BL92" s="6">
        <f t="shared" si="47"/>
        <v>-3698793.7515480374</v>
      </c>
      <c r="BM92" s="6">
        <f t="shared" si="47"/>
        <v>-7063405.1519471649</v>
      </c>
      <c r="BN92" s="6">
        <f t="shared" si="47"/>
        <v>-13488825.451523397</v>
      </c>
      <c r="BO92" s="6">
        <f t="shared" si="47"/>
        <v>-25759403.446759775</v>
      </c>
      <c r="BP92" s="6">
        <f t="shared" si="47"/>
        <v>-49192389.60225872</v>
      </c>
      <c r="BQ92" s="6">
        <f t="shared" si="47"/>
        <v>-93942077.918736458</v>
      </c>
      <c r="BR92" s="6">
        <f t="shared" si="47"/>
        <v>-179400000</v>
      </c>
      <c r="BT92" s="24"/>
      <c r="BU92" s="4">
        <v>0.04</v>
      </c>
      <c r="BV92" s="6">
        <f t="shared" si="44"/>
        <v>0.52364603492537798</v>
      </c>
      <c r="BW92" s="6">
        <f t="shared" si="44"/>
        <v>0.52364603492537798</v>
      </c>
      <c r="BX92" s="6">
        <f t="shared" si="44"/>
        <v>0.52364603492537798</v>
      </c>
      <c r="BY92" s="6">
        <f t="shared" si="44"/>
        <v>0.52364603492537798</v>
      </c>
      <c r="BZ92" s="6">
        <f t="shared" si="44"/>
        <v>0.52364603492537798</v>
      </c>
      <c r="CA92" s="6">
        <f t="shared" si="44"/>
        <v>0.52364603492537798</v>
      </c>
      <c r="CB92" s="6">
        <f t="shared" si="44"/>
        <v>0.52364603492537798</v>
      </c>
      <c r="CC92" s="6">
        <f t="shared" si="44"/>
        <v>0.52364603492537798</v>
      </c>
      <c r="CD92" s="6">
        <f t="shared" si="44"/>
        <v>0.52364603492537798</v>
      </c>
      <c r="CE92" s="6">
        <f t="shared" si="44"/>
        <v>0.52364603492537798</v>
      </c>
      <c r="CF92" s="6">
        <f t="shared" si="44"/>
        <v>0.52364603492537798</v>
      </c>
      <c r="CG92" s="6">
        <f t="shared" si="44"/>
        <v>0.52364603492537798</v>
      </c>
      <c r="CH92" s="6">
        <f t="shared" si="44"/>
        <v>0.52364603492537798</v>
      </c>
      <c r="CI92" s="6">
        <f t="shared" si="44"/>
        <v>0.52364603492537798</v>
      </c>
      <c r="CJ92" s="6">
        <f t="shared" si="44"/>
        <v>0.52364603492537798</v>
      </c>
      <c r="CK92" s="6">
        <f t="shared" si="44"/>
        <v>0.52364603492537798</v>
      </c>
      <c r="CL92" s="6">
        <f t="shared" si="50"/>
        <v>0.52364603492537798</v>
      </c>
      <c r="CM92" s="6">
        <f t="shared" si="50"/>
        <v>0.52364603492537798</v>
      </c>
      <c r="CN92" s="6">
        <f t="shared" si="50"/>
        <v>0.52364603492537798</v>
      </c>
      <c r="CO92" s="6">
        <f t="shared" si="50"/>
        <v>0.52364603492537798</v>
      </c>
      <c r="CP92" s="6">
        <f t="shared" si="50"/>
        <v>0.52364603492537798</v>
      </c>
      <c r="CQ92" s="6">
        <f t="shared" si="50"/>
        <v>0.52364603492537798</v>
      </c>
      <c r="CR92" s="6">
        <f t="shared" si="50"/>
        <v>0.52364603492537798</v>
      </c>
      <c r="CS92" s="6">
        <f t="shared" si="50"/>
        <v>0.52364603492537798</v>
      </c>
      <c r="CT92" s="6">
        <f t="shared" si="50"/>
        <v>0.52364603492537798</v>
      </c>
      <c r="CU92" s="6">
        <f t="shared" si="48"/>
        <v>0.52364603492537798</v>
      </c>
      <c r="CV92" s="6">
        <f t="shared" si="48"/>
        <v>0.52364603492537798</v>
      </c>
      <c r="CW92" s="6">
        <f t="shared" si="48"/>
        <v>0.52364603492537798</v>
      </c>
      <c r="CX92" s="6">
        <f t="shared" si="48"/>
        <v>0.52364603492537798</v>
      </c>
      <c r="CY92" s="6">
        <f t="shared" si="48"/>
        <v>0.52364603492537798</v>
      </c>
      <c r="CZ92" s="6">
        <f t="shared" si="48"/>
        <v>0.52364603492537798</v>
      </c>
      <c r="DB92" s="24"/>
      <c r="DC92" s="4">
        <v>0.04</v>
      </c>
      <c r="DD92" s="6">
        <f t="shared" si="45"/>
        <v>142.9061895223866</v>
      </c>
      <c r="DE92" s="6">
        <f t="shared" si="45"/>
        <v>74.832241015618891</v>
      </c>
      <c r="DF92" s="6">
        <f t="shared" si="45"/>
        <v>39.185596948952679</v>
      </c>
      <c r="DG92" s="6">
        <f t="shared" si="45"/>
        <v>20.519378226832679</v>
      </c>
      <c r="DH92" s="6">
        <f t="shared" si="45"/>
        <v>10.744890069673488</v>
      </c>
      <c r="DI92" s="6">
        <f t="shared" si="45"/>
        <v>5.6265209427061516</v>
      </c>
      <c r="DJ92" s="6">
        <f t="shared" si="45"/>
        <v>2.9463108909114806</v>
      </c>
      <c r="DK92" s="6">
        <f t="shared" si="45"/>
        <v>1.5428355585117861</v>
      </c>
      <c r="DL92" s="6">
        <f t="shared" si="45"/>
        <v>0.80792230146719923</v>
      </c>
      <c r="DM92" s="6">
        <f t="shared" si="45"/>
        <v>0.42310870839173187</v>
      </c>
      <c r="DN92" s="6">
        <f t="shared" si="45"/>
        <v>0.22164222228601513</v>
      </c>
      <c r="DO92" s="6">
        <f t="shared" si="45"/>
        <v>0.11622069917090491</v>
      </c>
      <c r="DP92" s="6">
        <f t="shared" si="45"/>
        <v>6.116147902985352E-2</v>
      </c>
      <c r="DQ92" s="6">
        <f t="shared" si="45"/>
        <v>3.260556646840531E-2</v>
      </c>
      <c r="DR92" s="6">
        <f t="shared" si="45"/>
        <v>1.8178732709932723E-2</v>
      </c>
      <c r="DS92" s="6">
        <f t="shared" si="45"/>
        <v>1.1629349792430993E-2</v>
      </c>
      <c r="DT92" s="6">
        <f t="shared" si="51"/>
        <v>1.0119351784982694E-2</v>
      </c>
      <c r="DU92" s="6">
        <f t="shared" si="49"/>
        <v>1.2994406217693559E-2</v>
      </c>
      <c r="DV92" s="6">
        <f t="shared" si="49"/>
        <v>2.1500370011404965E-2</v>
      </c>
      <c r="DW92" s="6">
        <f t="shared" si="49"/>
        <v>3.9323160810058537E-2</v>
      </c>
      <c r="DX92" s="6">
        <f t="shared" si="49"/>
        <v>7.4185987959737451E-2</v>
      </c>
      <c r="DY92" s="6">
        <f t="shared" si="49"/>
        <v>0.14119607655863597</v>
      </c>
      <c r="DZ92" s="6">
        <f t="shared" si="49"/>
        <v>0.26939113166627682</v>
      </c>
      <c r="EA92" s="6">
        <f t="shared" si="49"/>
        <v>0.51432234382930409</v>
      </c>
      <c r="EB92" s="6">
        <f t="shared" si="49"/>
        <v>0.98212657165169648</v>
      </c>
      <c r="EC92" s="6">
        <f t="shared" si="49"/>
        <v>1.8755189805231574</v>
      </c>
      <c r="ED92" s="6">
        <f t="shared" si="49"/>
        <v>3.5816362809546534</v>
      </c>
      <c r="EE92" s="6">
        <f t="shared" si="49"/>
        <v>6.8397959697998338</v>
      </c>
      <c r="EF92" s="6">
        <f t="shared" si="49"/>
        <v>13.061867245558275</v>
      </c>
      <c r="EG92" s="6">
        <f t="shared" si="49"/>
        <v>24.944080994391975</v>
      </c>
      <c r="EH92" s="6">
        <f t="shared" si="49"/>
        <v>47.63539650746219</v>
      </c>
    </row>
    <row r="93" spans="5:138">
      <c r="E93" s="26"/>
      <c r="F93" s="4">
        <v>3.6666666666666667E-2</v>
      </c>
      <c r="G93" s="6">
        <f t="shared" si="40"/>
        <v>300</v>
      </c>
      <c r="H93" s="6">
        <f t="shared" si="53"/>
        <v>157.09377165338856</v>
      </c>
      <c r="I93" s="6">
        <f t="shared" si="53"/>
        <v>82.261511023245419</v>
      </c>
      <c r="J93" s="6">
        <f t="shared" si="53"/>
        <v>43.075905169842073</v>
      </c>
      <c r="K93" s="6">
        <f t="shared" si="53"/>
        <v>22.556524890036918</v>
      </c>
      <c r="L93" s="6">
        <f t="shared" si="52"/>
        <v>11.811638729247784</v>
      </c>
      <c r="M93" s="6">
        <f t="shared" si="52"/>
        <v>6.185129351132689</v>
      </c>
      <c r="N93" s="6">
        <f t="shared" si="52"/>
        <v>3.2388426918417634</v>
      </c>
      <c r="O93" s="6">
        <f t="shared" si="52"/>
        <v>1.6960545323489358</v>
      </c>
      <c r="P93" s="6">
        <f t="shared" si="52"/>
        <v>0.88822333687397959</v>
      </c>
      <c r="Q93" s="6">
        <f t="shared" si="52"/>
        <v>0.46528892071108163</v>
      </c>
      <c r="R93" s="6">
        <f t="shared" si="52"/>
        <v>0.24397970352298559</v>
      </c>
      <c r="S93" s="6">
        <f t="shared" si="52"/>
        <v>0.12839502452818341</v>
      </c>
      <c r="T93" s="6">
        <f t="shared" si="52"/>
        <v>6.8448189495594031E-2</v>
      </c>
      <c r="U93" s="6">
        <f t="shared" si="52"/>
        <v>3.8162236577762049E-2</v>
      </c>
      <c r="V93" s="6">
        <f t="shared" si="52"/>
        <v>2.4413252843626963E-2</v>
      </c>
      <c r="W93" s="6">
        <f t="shared" si="52"/>
        <v>2.1243345341730224E-2</v>
      </c>
      <c r="X93" s="6">
        <f t="shared" si="52"/>
        <v>2.7278887487916584E-2</v>
      </c>
      <c r="Y93" s="6">
        <f t="shared" si="52"/>
        <v>4.5135280878866799E-2</v>
      </c>
      <c r="Z93" s="6">
        <f t="shared" si="52"/>
        <v>8.2550295983992647E-2</v>
      </c>
      <c r="AA93" s="6">
        <f t="shared" si="52"/>
        <v>0.15573710601551527</v>
      </c>
      <c r="AB93" s="6">
        <f t="shared" si="52"/>
        <v>0.29640999532042789</v>
      </c>
      <c r="AC93" s="6">
        <f t="shared" si="52"/>
        <v>0.56552721593085942</v>
      </c>
      <c r="AD93" s="6">
        <f t="shared" si="52"/>
        <v>1.0797062301113298</v>
      </c>
      <c r="AE93" s="6">
        <f t="shared" si="52"/>
        <v>2.0617579440067093</v>
      </c>
      <c r="AF93" s="6">
        <f t="shared" si="52"/>
        <v>3.9372381003049961</v>
      </c>
      <c r="AG93" s="6">
        <f t="shared" si="52"/>
        <v>7.5188547667354495</v>
      </c>
      <c r="AH93" s="6">
        <f t="shared" si="52"/>
        <v>14.358641832084599</v>
      </c>
      <c r="AI93" s="6">
        <f t="shared" si="52"/>
        <v>27.420507024670407</v>
      </c>
      <c r="AJ93" s="6">
        <f t="shared" si="52"/>
        <v>52.364591927946741</v>
      </c>
      <c r="AK93" s="6">
        <f t="shared" si="42"/>
        <v>100</v>
      </c>
      <c r="AL93" s="24"/>
      <c r="AM93" s="4">
        <v>3.6666666666666667E-2</v>
      </c>
      <c r="AN93" s="6">
        <f t="shared" si="43"/>
        <v>-538200000</v>
      </c>
      <c r="AO93" s="6">
        <f t="shared" si="43"/>
        <v>-281826226.34617907</v>
      </c>
      <c r="AP93" s="6">
        <f t="shared" si="43"/>
        <v>-147577150.77570233</v>
      </c>
      <c r="AQ93" s="6">
        <f t="shared" si="43"/>
        <v>-77278173.874696672</v>
      </c>
      <c r="AR93" s="6">
        <f t="shared" si="43"/>
        <v>-40466405.65272624</v>
      </c>
      <c r="AS93" s="6">
        <f t="shared" si="43"/>
        <v>-21190079.880270526</v>
      </c>
      <c r="AT93" s="6">
        <f t="shared" si="43"/>
        <v>-11096122.055932045</v>
      </c>
      <c r="AU93" s="6">
        <f t="shared" si="43"/>
        <v>-5810483.7891641241</v>
      </c>
      <c r="AV93" s="6">
        <f t="shared" si="43"/>
        <v>-3042721.8310339907</v>
      </c>
      <c r="AW93" s="6">
        <f t="shared" si="43"/>
        <v>-1593472.6663519195</v>
      </c>
      <c r="AX93" s="6">
        <f t="shared" si="43"/>
        <v>-834728.32375568047</v>
      </c>
      <c r="AY93" s="6">
        <f t="shared" si="43"/>
        <v>-437699.58812023624</v>
      </c>
      <c r="AZ93" s="6">
        <f t="shared" si="43"/>
        <v>-230340.67400356109</v>
      </c>
      <c r="BA93" s="6">
        <f t="shared" si="43"/>
        <v>-122796.0519550957</v>
      </c>
      <c r="BB93" s="6">
        <f t="shared" si="43"/>
        <v>-68463.052420505119</v>
      </c>
      <c r="BC93" s="6">
        <f t="shared" si="43"/>
        <v>-43797.375601466774</v>
      </c>
      <c r="BD93" s="6">
        <f t="shared" si="47"/>
        <v>-38110.561543064025</v>
      </c>
      <c r="BE93" s="6">
        <f t="shared" si="47"/>
        <v>-48938.324153322355</v>
      </c>
      <c r="BF93" s="6">
        <f t="shared" si="47"/>
        <v>-80972.693896687037</v>
      </c>
      <c r="BG93" s="6">
        <f t="shared" si="47"/>
        <v>-148095.23099528282</v>
      </c>
      <c r="BH93" s="6">
        <f t="shared" si="47"/>
        <v>-279392.36819183442</v>
      </c>
      <c r="BI93" s="6">
        <f t="shared" si="47"/>
        <v>-531759.53160484775</v>
      </c>
      <c r="BJ93" s="6">
        <f t="shared" si="47"/>
        <v>-1014555.8253799618</v>
      </c>
      <c r="BK93" s="6">
        <f t="shared" si="47"/>
        <v>-1936992.9768197257</v>
      </c>
      <c r="BL93" s="6">
        <f t="shared" si="47"/>
        <v>-3698793.7515480374</v>
      </c>
      <c r="BM93" s="6">
        <f t="shared" si="47"/>
        <v>-7063405.1519471649</v>
      </c>
      <c r="BN93" s="6">
        <f t="shared" si="47"/>
        <v>-13488825.451523397</v>
      </c>
      <c r="BO93" s="6">
        <f t="shared" si="47"/>
        <v>-25759403.446759775</v>
      </c>
      <c r="BP93" s="6">
        <f t="shared" si="47"/>
        <v>-49192389.60225872</v>
      </c>
      <c r="BQ93" s="6">
        <f t="shared" si="47"/>
        <v>-93942077.918736458</v>
      </c>
      <c r="BR93" s="6">
        <f t="shared" si="47"/>
        <v>-179400000</v>
      </c>
      <c r="BT93" s="24"/>
      <c r="BU93" s="4">
        <v>3.6666666666666667E-2</v>
      </c>
      <c r="BV93" s="6">
        <f t="shared" si="44"/>
        <v>0.5236463820275632</v>
      </c>
      <c r="BW93" s="6">
        <f t="shared" si="44"/>
        <v>0.5236463820275632</v>
      </c>
      <c r="BX93" s="6">
        <f t="shared" si="44"/>
        <v>0.5236463820275632</v>
      </c>
      <c r="BY93" s="6">
        <f t="shared" si="44"/>
        <v>0.5236463820275632</v>
      </c>
      <c r="BZ93" s="6">
        <f t="shared" si="44"/>
        <v>0.5236463820275632</v>
      </c>
      <c r="CA93" s="6">
        <f t="shared" si="44"/>
        <v>0.5236463820275632</v>
      </c>
      <c r="CB93" s="6">
        <f t="shared" si="44"/>
        <v>0.5236463820275632</v>
      </c>
      <c r="CC93" s="6">
        <f t="shared" si="44"/>
        <v>0.5236463820275632</v>
      </c>
      <c r="CD93" s="6">
        <f t="shared" si="44"/>
        <v>0.5236463820275632</v>
      </c>
      <c r="CE93" s="6">
        <f t="shared" si="44"/>
        <v>0.5236463820275632</v>
      </c>
      <c r="CF93" s="6">
        <f t="shared" si="44"/>
        <v>0.5236463820275632</v>
      </c>
      <c r="CG93" s="6">
        <f t="shared" si="44"/>
        <v>0.5236463820275632</v>
      </c>
      <c r="CH93" s="6">
        <f t="shared" si="44"/>
        <v>0.5236463820275632</v>
      </c>
      <c r="CI93" s="6">
        <f t="shared" si="44"/>
        <v>0.5236463820275632</v>
      </c>
      <c r="CJ93" s="6">
        <f t="shared" si="44"/>
        <v>0.5236463820275632</v>
      </c>
      <c r="CK93" s="6">
        <f t="shared" si="44"/>
        <v>0.5236463820275632</v>
      </c>
      <c r="CL93" s="6">
        <f t="shared" si="50"/>
        <v>0.5236463820275632</v>
      </c>
      <c r="CM93" s="6">
        <f t="shared" si="50"/>
        <v>0.5236463820275632</v>
      </c>
      <c r="CN93" s="6">
        <f t="shared" si="50"/>
        <v>0.5236463820275632</v>
      </c>
      <c r="CO93" s="6">
        <f t="shared" si="50"/>
        <v>0.5236463820275632</v>
      </c>
      <c r="CP93" s="6">
        <f t="shared" si="50"/>
        <v>0.5236463820275632</v>
      </c>
      <c r="CQ93" s="6">
        <f t="shared" si="50"/>
        <v>0.5236463820275632</v>
      </c>
      <c r="CR93" s="6">
        <f t="shared" si="50"/>
        <v>0.5236463820275632</v>
      </c>
      <c r="CS93" s="6">
        <f t="shared" si="50"/>
        <v>0.5236463820275632</v>
      </c>
      <c r="CT93" s="6">
        <f t="shared" si="50"/>
        <v>0.5236463820275632</v>
      </c>
      <c r="CU93" s="6">
        <f t="shared" si="48"/>
        <v>0.5236463820275632</v>
      </c>
      <c r="CV93" s="6">
        <f t="shared" si="48"/>
        <v>0.5236463820275632</v>
      </c>
      <c r="CW93" s="6">
        <f t="shared" si="48"/>
        <v>0.5236463820275632</v>
      </c>
      <c r="CX93" s="6">
        <f t="shared" si="48"/>
        <v>0.5236463820275632</v>
      </c>
      <c r="CY93" s="6">
        <f t="shared" si="48"/>
        <v>0.5236463820275632</v>
      </c>
      <c r="CZ93" s="6">
        <f t="shared" si="48"/>
        <v>0.5236463820275632</v>
      </c>
      <c r="DB93" s="24"/>
      <c r="DC93" s="4">
        <v>3.6666666666666667E-2</v>
      </c>
      <c r="DD93" s="6">
        <f t="shared" si="45"/>
        <v>142.90608539173104</v>
      </c>
      <c r="DE93" s="6">
        <f t="shared" si="45"/>
        <v>74.832186488027475</v>
      </c>
      <c r="DF93" s="6">
        <f t="shared" si="45"/>
        <v>39.185568395802449</v>
      </c>
      <c r="DG93" s="6">
        <f t="shared" si="45"/>
        <v>20.519363275091862</v>
      </c>
      <c r="DH93" s="6">
        <f t="shared" si="45"/>
        <v>10.744882240254409</v>
      </c>
      <c r="DI93" s="6">
        <f t="shared" si="45"/>
        <v>5.6265168428605374</v>
      </c>
      <c r="DJ93" s="6">
        <f t="shared" si="45"/>
        <v>2.9463087440395666</v>
      </c>
      <c r="DK93" s="6">
        <f t="shared" si="45"/>
        <v>1.5428344343024101</v>
      </c>
      <c r="DL93" s="6">
        <f t="shared" si="45"/>
        <v>0.80792171276296476</v>
      </c>
      <c r="DM93" s="6">
        <f t="shared" si="45"/>
        <v>0.42310840008747069</v>
      </c>
      <c r="DN93" s="6">
        <f t="shared" si="45"/>
        <v>0.221642060783214</v>
      </c>
      <c r="DO93" s="6">
        <f t="shared" si="45"/>
        <v>0.11622061448501667</v>
      </c>
      <c r="DP93" s="6">
        <f t="shared" si="45"/>
        <v>6.1161434463659937E-2</v>
      </c>
      <c r="DQ93" s="6">
        <f t="shared" si="45"/>
        <v>3.2605542709889163E-2</v>
      </c>
      <c r="DR93" s="6">
        <f t="shared" si="45"/>
        <v>1.8178719463737014E-2</v>
      </c>
      <c r="DS93" s="6">
        <f t="shared" si="45"/>
        <v>1.1629341318537583E-2</v>
      </c>
      <c r="DT93" s="6">
        <f t="shared" si="51"/>
        <v>1.0119344411371104E-2</v>
      </c>
      <c r="DU93" s="6">
        <f t="shared" si="49"/>
        <v>1.2994396749132102E-2</v>
      </c>
      <c r="DV93" s="6">
        <f t="shared" si="49"/>
        <v>2.1500354344850342E-2</v>
      </c>
      <c r="DW93" s="6">
        <f t="shared" si="49"/>
        <v>3.9323132156670416E-2</v>
      </c>
      <c r="DX93" s="6">
        <f t="shared" si="49"/>
        <v>7.4185933903047646E-2</v>
      </c>
      <c r="DY93" s="6">
        <f t="shared" si="49"/>
        <v>0.14119597367407888</v>
      </c>
      <c r="DZ93" s="6">
        <f t="shared" si="49"/>
        <v>0.26939093537054437</v>
      </c>
      <c r="EA93" s="6">
        <f t="shared" si="49"/>
        <v>0.51432196906091232</v>
      </c>
      <c r="EB93" s="6">
        <f t="shared" si="49"/>
        <v>0.98212585601100877</v>
      </c>
      <c r="EC93" s="6">
        <f t="shared" si="49"/>
        <v>1.8755176138992089</v>
      </c>
      <c r="ED93" s="6">
        <f t="shared" si="49"/>
        <v>3.5816336711437335</v>
      </c>
      <c r="EE93" s="6">
        <f t="shared" si="49"/>
        <v>6.8397909858838766</v>
      </c>
      <c r="EF93" s="6">
        <f t="shared" si="49"/>
        <v>13.061857727840367</v>
      </c>
      <c r="EG93" s="6">
        <f t="shared" si="49"/>
        <v>24.944062818527687</v>
      </c>
      <c r="EH93" s="6">
        <f t="shared" si="49"/>
        <v>47.635361797243668</v>
      </c>
    </row>
    <row r="94" spans="5:138">
      <c r="E94" s="26"/>
      <c r="F94" s="4">
        <v>3.3333333333333333E-2</v>
      </c>
      <c r="G94" s="6">
        <f t="shared" si="40"/>
        <v>300</v>
      </c>
      <c r="H94" s="6">
        <f t="shared" si="53"/>
        <v>157.09377165338856</v>
      </c>
      <c r="I94" s="6">
        <f t="shared" si="53"/>
        <v>82.261511023245433</v>
      </c>
      <c r="J94" s="6">
        <f t="shared" si="53"/>
        <v>43.075905169842073</v>
      </c>
      <c r="K94" s="6">
        <f t="shared" si="53"/>
        <v>22.556524890036918</v>
      </c>
      <c r="L94" s="6">
        <f t="shared" si="52"/>
        <v>11.811638729247786</v>
      </c>
      <c r="M94" s="6">
        <f t="shared" si="52"/>
        <v>6.185129351132689</v>
      </c>
      <c r="N94" s="6">
        <f t="shared" si="52"/>
        <v>3.2388426918417634</v>
      </c>
      <c r="O94" s="6">
        <f t="shared" si="52"/>
        <v>1.6960545323489358</v>
      </c>
      <c r="P94" s="6">
        <f t="shared" si="52"/>
        <v>0.8882233368739797</v>
      </c>
      <c r="Q94" s="6">
        <f t="shared" ref="Q94:AJ104" si="54">CF94*Q93+DN94</f>
        <v>0.46528892071108163</v>
      </c>
      <c r="R94" s="6">
        <f t="shared" si="54"/>
        <v>0.24397970352298559</v>
      </c>
      <c r="S94" s="6">
        <f t="shared" si="54"/>
        <v>0.12839502452818341</v>
      </c>
      <c r="T94" s="6">
        <f t="shared" si="54"/>
        <v>6.8448189495594031E-2</v>
      </c>
      <c r="U94" s="6">
        <f t="shared" si="54"/>
        <v>3.8162236577762049E-2</v>
      </c>
      <c r="V94" s="6">
        <f t="shared" si="54"/>
        <v>2.4413252843626963E-2</v>
      </c>
      <c r="W94" s="6">
        <f t="shared" si="54"/>
        <v>2.1243345341730224E-2</v>
      </c>
      <c r="X94" s="6">
        <f t="shared" si="54"/>
        <v>2.7278887487916584E-2</v>
      </c>
      <c r="Y94" s="6">
        <f t="shared" si="54"/>
        <v>4.5135280878866799E-2</v>
      </c>
      <c r="Z94" s="6">
        <f t="shared" si="54"/>
        <v>8.2550295983992661E-2</v>
      </c>
      <c r="AA94" s="6">
        <f t="shared" si="54"/>
        <v>0.15573710601551527</v>
      </c>
      <c r="AB94" s="6">
        <f t="shared" si="54"/>
        <v>0.29640999532042789</v>
      </c>
      <c r="AC94" s="6">
        <f t="shared" si="54"/>
        <v>0.56552721593085953</v>
      </c>
      <c r="AD94" s="6">
        <f t="shared" si="54"/>
        <v>1.0797062301113298</v>
      </c>
      <c r="AE94" s="6">
        <f t="shared" si="54"/>
        <v>2.0617579440067093</v>
      </c>
      <c r="AF94" s="6">
        <f t="shared" si="54"/>
        <v>3.9372381003049965</v>
      </c>
      <c r="AG94" s="6">
        <f t="shared" si="54"/>
        <v>7.5188547667354504</v>
      </c>
      <c r="AH94" s="6">
        <f t="shared" si="54"/>
        <v>14.358641832084601</v>
      </c>
      <c r="AI94" s="6">
        <f t="shared" si="54"/>
        <v>27.42050702467041</v>
      </c>
      <c r="AJ94" s="6">
        <f t="shared" si="54"/>
        <v>52.364591927946748</v>
      </c>
      <c r="AK94" s="6">
        <f t="shared" si="42"/>
        <v>100</v>
      </c>
      <c r="AL94" s="24"/>
      <c r="AM94" s="4">
        <v>3.3333333333333333E-2</v>
      </c>
      <c r="AN94" s="6">
        <f t="shared" si="43"/>
        <v>-538200000</v>
      </c>
      <c r="AO94" s="6">
        <f t="shared" si="43"/>
        <v>-281826226.34617907</v>
      </c>
      <c r="AP94" s="6">
        <f t="shared" si="43"/>
        <v>-147577150.77570233</v>
      </c>
      <c r="AQ94" s="6">
        <f t="shared" si="43"/>
        <v>-77278173.874696672</v>
      </c>
      <c r="AR94" s="6">
        <f t="shared" si="43"/>
        <v>-40466405.65272624</v>
      </c>
      <c r="AS94" s="6">
        <f t="shared" si="43"/>
        <v>-21190079.880270526</v>
      </c>
      <c r="AT94" s="6">
        <f t="shared" si="43"/>
        <v>-11096122.055932045</v>
      </c>
      <c r="AU94" s="6">
        <f t="shared" si="43"/>
        <v>-5810483.7891641241</v>
      </c>
      <c r="AV94" s="6">
        <f t="shared" si="43"/>
        <v>-3042721.8310339907</v>
      </c>
      <c r="AW94" s="6">
        <f t="shared" si="43"/>
        <v>-1593472.6663519195</v>
      </c>
      <c r="AX94" s="6">
        <f t="shared" si="43"/>
        <v>-834728.32375568047</v>
      </c>
      <c r="AY94" s="6">
        <f t="shared" si="43"/>
        <v>-437699.58812023624</v>
      </c>
      <c r="AZ94" s="6">
        <f t="shared" si="43"/>
        <v>-230340.67400356109</v>
      </c>
      <c r="BA94" s="6">
        <f t="shared" si="43"/>
        <v>-122796.0519550957</v>
      </c>
      <c r="BB94" s="6">
        <f t="shared" si="43"/>
        <v>-68463.052420505119</v>
      </c>
      <c r="BC94" s="6">
        <f t="shared" si="43"/>
        <v>-43797.375601466774</v>
      </c>
      <c r="BD94" s="6">
        <f t="shared" si="47"/>
        <v>-38110.561543064025</v>
      </c>
      <c r="BE94" s="6">
        <f t="shared" si="47"/>
        <v>-48938.324153322355</v>
      </c>
      <c r="BF94" s="6">
        <f t="shared" si="47"/>
        <v>-80972.693896687037</v>
      </c>
      <c r="BG94" s="6">
        <f t="shared" si="47"/>
        <v>-148095.23099528282</v>
      </c>
      <c r="BH94" s="6">
        <f t="shared" si="47"/>
        <v>-279392.36819183442</v>
      </c>
      <c r="BI94" s="6">
        <f t="shared" si="47"/>
        <v>-531759.53160484775</v>
      </c>
      <c r="BJ94" s="6">
        <f t="shared" si="47"/>
        <v>-1014555.8253799618</v>
      </c>
      <c r="BK94" s="6">
        <f t="shared" si="47"/>
        <v>-1936992.9768197257</v>
      </c>
      <c r="BL94" s="6">
        <f t="shared" si="47"/>
        <v>-3698793.7515480374</v>
      </c>
      <c r="BM94" s="6">
        <f t="shared" si="47"/>
        <v>-7063405.1519471649</v>
      </c>
      <c r="BN94" s="6">
        <f t="shared" si="47"/>
        <v>-13488825.451523397</v>
      </c>
      <c r="BO94" s="6">
        <f t="shared" si="47"/>
        <v>-25759403.446759775</v>
      </c>
      <c r="BP94" s="6">
        <f t="shared" si="47"/>
        <v>-49192389.60225872</v>
      </c>
      <c r="BQ94" s="6">
        <f t="shared" si="47"/>
        <v>-93942077.918736458</v>
      </c>
      <c r="BR94" s="6">
        <f t="shared" si="47"/>
        <v>-179400000</v>
      </c>
      <c r="BT94" s="24"/>
      <c r="BU94" s="4">
        <v>3.3333333333333333E-2</v>
      </c>
      <c r="BV94" s="6">
        <f t="shared" si="44"/>
        <v>0.52364764787515938</v>
      </c>
      <c r="BW94" s="6">
        <f t="shared" si="44"/>
        <v>0.52364764787515938</v>
      </c>
      <c r="BX94" s="6">
        <f t="shared" si="44"/>
        <v>0.52364764787515938</v>
      </c>
      <c r="BY94" s="6">
        <f t="shared" si="44"/>
        <v>0.52364764787515938</v>
      </c>
      <c r="BZ94" s="6">
        <f t="shared" si="44"/>
        <v>0.52364764787515938</v>
      </c>
      <c r="CA94" s="6">
        <f t="shared" si="44"/>
        <v>0.52364764787515938</v>
      </c>
      <c r="CB94" s="6">
        <f t="shared" si="44"/>
        <v>0.52364764787515938</v>
      </c>
      <c r="CC94" s="6">
        <f t="shared" si="44"/>
        <v>0.52364764787515938</v>
      </c>
      <c r="CD94" s="6">
        <f t="shared" si="44"/>
        <v>0.52364764787515938</v>
      </c>
      <c r="CE94" s="6">
        <f t="shared" si="44"/>
        <v>0.52364764787515938</v>
      </c>
      <c r="CF94" s="6">
        <f t="shared" si="44"/>
        <v>0.52364764787515938</v>
      </c>
      <c r="CG94" s="6">
        <f t="shared" si="44"/>
        <v>0.52364764787515938</v>
      </c>
      <c r="CH94" s="6">
        <f t="shared" si="44"/>
        <v>0.52364764787515938</v>
      </c>
      <c r="CI94" s="6">
        <f t="shared" si="44"/>
        <v>0.52364764787515938</v>
      </c>
      <c r="CJ94" s="6">
        <f t="shared" si="44"/>
        <v>0.52364764787515938</v>
      </c>
      <c r="CK94" s="6">
        <f t="shared" si="44"/>
        <v>0.52364764787515938</v>
      </c>
      <c r="CL94" s="6">
        <f t="shared" si="50"/>
        <v>0.52364764787515938</v>
      </c>
      <c r="CM94" s="6">
        <f t="shared" si="50"/>
        <v>0.52364764787515938</v>
      </c>
      <c r="CN94" s="6">
        <f t="shared" si="50"/>
        <v>0.52364764787515938</v>
      </c>
      <c r="CO94" s="6">
        <f t="shared" si="50"/>
        <v>0.52364764787515938</v>
      </c>
      <c r="CP94" s="6">
        <f t="shared" si="50"/>
        <v>0.52364764787515938</v>
      </c>
      <c r="CQ94" s="6">
        <f t="shared" si="50"/>
        <v>0.52364764787515938</v>
      </c>
      <c r="CR94" s="6">
        <f t="shared" si="50"/>
        <v>0.52364764787515938</v>
      </c>
      <c r="CS94" s="6">
        <f t="shared" si="50"/>
        <v>0.52364764787515938</v>
      </c>
      <c r="CT94" s="6">
        <f t="shared" si="50"/>
        <v>0.52364764787515938</v>
      </c>
      <c r="CU94" s="6">
        <f t="shared" si="48"/>
        <v>0.52364764787515938</v>
      </c>
      <c r="CV94" s="6">
        <f t="shared" si="48"/>
        <v>0.52364764787515938</v>
      </c>
      <c r="CW94" s="6">
        <f t="shared" si="48"/>
        <v>0.52364764787515938</v>
      </c>
      <c r="CX94" s="6">
        <f t="shared" si="48"/>
        <v>0.52364764787515938</v>
      </c>
      <c r="CY94" s="6">
        <f t="shared" si="48"/>
        <v>0.52364764787515938</v>
      </c>
      <c r="CZ94" s="6">
        <f t="shared" si="48"/>
        <v>0.52364764787515938</v>
      </c>
      <c r="DB94" s="24"/>
      <c r="DC94" s="4">
        <v>3.3333333333333333E-2</v>
      </c>
      <c r="DD94" s="6">
        <f t="shared" si="45"/>
        <v>142.90570563745223</v>
      </c>
      <c r="DE94" s="6">
        <f t="shared" si="45"/>
        <v>74.83198763125425</v>
      </c>
      <c r="DF94" s="6">
        <f t="shared" si="45"/>
        <v>39.185464265266475</v>
      </c>
      <c r="DG94" s="6">
        <f t="shared" si="45"/>
        <v>20.519308747560856</v>
      </c>
      <c r="DH94" s="6">
        <f t="shared" si="45"/>
        <v>10.7448536871316</v>
      </c>
      <c r="DI94" s="6">
        <f t="shared" si="45"/>
        <v>5.626501891126046</v>
      </c>
      <c r="DJ94" s="6">
        <f t="shared" si="45"/>
        <v>2.9463009146084458</v>
      </c>
      <c r="DK94" s="6">
        <f t="shared" si="45"/>
        <v>1.5428303344211742</v>
      </c>
      <c r="DL94" s="6">
        <f t="shared" si="45"/>
        <v>0.80791956581641222</v>
      </c>
      <c r="DM94" s="6">
        <f t="shared" si="45"/>
        <v>0.42310727573209495</v>
      </c>
      <c r="DN94" s="6">
        <f t="shared" si="45"/>
        <v>0.22164147179835222</v>
      </c>
      <c r="DO94" s="6">
        <f t="shared" si="45"/>
        <v>0.11622030564389547</v>
      </c>
      <c r="DP94" s="6">
        <f t="shared" si="45"/>
        <v>6.1161271935126785E-2</v>
      </c>
      <c r="DQ94" s="6">
        <f t="shared" si="45"/>
        <v>3.2605456064913031E-2</v>
      </c>
      <c r="DR94" s="6">
        <f t="shared" si="45"/>
        <v>1.8178671156161581E-2</v>
      </c>
      <c r="DS94" s="6">
        <f t="shared" si="45"/>
        <v>1.162931041508016E-2</v>
      </c>
      <c r="DT94" s="6">
        <f t="shared" si="51"/>
        <v>1.011931752053347E-2</v>
      </c>
      <c r="DU94" s="6">
        <f t="shared" si="49"/>
        <v>1.2994362218217951E-2</v>
      </c>
      <c r="DV94" s="6">
        <f t="shared" si="49"/>
        <v>2.1500297210463544E-2</v>
      </c>
      <c r="DW94" s="6">
        <f t="shared" si="49"/>
        <v>3.9323027660576687E-2</v>
      </c>
      <c r="DX94" s="6">
        <f t="shared" si="49"/>
        <v>7.4185736763606375E-2</v>
      </c>
      <c r="DY94" s="6">
        <f t="shared" si="49"/>
        <v>0.14119559846419885</v>
      </c>
      <c r="DZ94" s="6">
        <f t="shared" si="49"/>
        <v>0.26939021949927755</v>
      </c>
      <c r="EA94" s="6">
        <f t="shared" si="49"/>
        <v>0.51432060231737642</v>
      </c>
      <c r="EB94" s="6">
        <f t="shared" si="49"/>
        <v>0.98212324613967161</v>
      </c>
      <c r="EC94" s="6">
        <f t="shared" si="49"/>
        <v>1.8755126299558245</v>
      </c>
      <c r="ED94" s="6">
        <f t="shared" si="49"/>
        <v>3.5816241534195021</v>
      </c>
      <c r="EE94" s="6">
        <f t="shared" si="49"/>
        <v>6.8397728100316302</v>
      </c>
      <c r="EF94" s="6">
        <f t="shared" si="49"/>
        <v>13.061823017657467</v>
      </c>
      <c r="EG94" s="6">
        <f t="shared" si="49"/>
        <v>24.943996532934875</v>
      </c>
      <c r="EH94" s="6">
        <f t="shared" si="49"/>
        <v>47.635235212484062</v>
      </c>
    </row>
    <row r="95" spans="5:138">
      <c r="E95" s="26"/>
      <c r="F95" s="4">
        <v>3.0000000000000002E-2</v>
      </c>
      <c r="G95" s="6">
        <f t="shared" si="40"/>
        <v>300</v>
      </c>
      <c r="H95" s="6">
        <f t="shared" si="53"/>
        <v>157.09377165338856</v>
      </c>
      <c r="I95" s="6">
        <f t="shared" si="53"/>
        <v>82.261511023245447</v>
      </c>
      <c r="J95" s="6">
        <f t="shared" si="53"/>
        <v>43.075905169842073</v>
      </c>
      <c r="K95" s="6">
        <f t="shared" si="53"/>
        <v>22.556524890036922</v>
      </c>
      <c r="L95" s="6">
        <f t="shared" si="53"/>
        <v>11.811638729247786</v>
      </c>
      <c r="M95" s="6">
        <f t="shared" si="53"/>
        <v>6.1851293511326908</v>
      </c>
      <c r="N95" s="6">
        <f t="shared" si="53"/>
        <v>3.2388426918417639</v>
      </c>
      <c r="O95" s="6">
        <f t="shared" si="53"/>
        <v>1.6960545323489358</v>
      </c>
      <c r="P95" s="6">
        <f t="shared" si="53"/>
        <v>0.88822333687397981</v>
      </c>
      <c r="Q95" s="6">
        <f t="shared" si="54"/>
        <v>0.46528892071108169</v>
      </c>
      <c r="R95" s="6">
        <f t="shared" si="54"/>
        <v>0.24397970352298565</v>
      </c>
      <c r="S95" s="6">
        <f t="shared" si="54"/>
        <v>0.12839502452818344</v>
      </c>
      <c r="T95" s="6">
        <f t="shared" si="54"/>
        <v>6.8448189495594045E-2</v>
      </c>
      <c r="U95" s="6">
        <f t="shared" si="54"/>
        <v>3.8162236577762056E-2</v>
      </c>
      <c r="V95" s="6">
        <f t="shared" si="54"/>
        <v>2.4413252843626967E-2</v>
      </c>
      <c r="W95" s="6">
        <f t="shared" si="54"/>
        <v>2.1243345341730224E-2</v>
      </c>
      <c r="X95" s="6">
        <f t="shared" si="54"/>
        <v>2.7278887487916591E-2</v>
      </c>
      <c r="Y95" s="6">
        <f t="shared" si="54"/>
        <v>4.5135280878866806E-2</v>
      </c>
      <c r="Z95" s="6">
        <f t="shared" si="54"/>
        <v>8.2550295983992661E-2</v>
      </c>
      <c r="AA95" s="6">
        <f t="shared" si="54"/>
        <v>0.1557371060155153</v>
      </c>
      <c r="AB95" s="6">
        <f t="shared" si="54"/>
        <v>0.29640999532042789</v>
      </c>
      <c r="AC95" s="6">
        <f t="shared" si="54"/>
        <v>0.56552721593085953</v>
      </c>
      <c r="AD95" s="6">
        <f t="shared" si="54"/>
        <v>1.0797062301113298</v>
      </c>
      <c r="AE95" s="6">
        <f t="shared" si="54"/>
        <v>2.0617579440067098</v>
      </c>
      <c r="AF95" s="6">
        <f t="shared" si="54"/>
        <v>3.937238100304997</v>
      </c>
      <c r="AG95" s="6">
        <f t="shared" si="54"/>
        <v>7.5188547667354513</v>
      </c>
      <c r="AH95" s="6">
        <f t="shared" si="54"/>
        <v>14.358641832084601</v>
      </c>
      <c r="AI95" s="6">
        <f t="shared" si="54"/>
        <v>27.420507024670414</v>
      </c>
      <c r="AJ95" s="6">
        <f t="shared" si="54"/>
        <v>52.364591927946748</v>
      </c>
      <c r="AK95" s="6">
        <f t="shared" si="42"/>
        <v>100</v>
      </c>
      <c r="AL95" s="24"/>
      <c r="AM95" s="4">
        <v>3.0000000000000002E-2</v>
      </c>
      <c r="AN95" s="6">
        <f t="shared" si="43"/>
        <v>-538200000</v>
      </c>
      <c r="AO95" s="6">
        <f t="shared" si="43"/>
        <v>-281826226.34617907</v>
      </c>
      <c r="AP95" s="6">
        <f t="shared" si="43"/>
        <v>-147577150.77570233</v>
      </c>
      <c r="AQ95" s="6">
        <f t="shared" si="43"/>
        <v>-77278173.874696672</v>
      </c>
      <c r="AR95" s="6">
        <f t="shared" si="43"/>
        <v>-40466405.65272624</v>
      </c>
      <c r="AS95" s="6">
        <f t="shared" si="43"/>
        <v>-21190079.880270526</v>
      </c>
      <c r="AT95" s="6">
        <f t="shared" si="43"/>
        <v>-11096122.055932045</v>
      </c>
      <c r="AU95" s="6">
        <f t="shared" si="43"/>
        <v>-5810483.7891641241</v>
      </c>
      <c r="AV95" s="6">
        <f t="shared" si="43"/>
        <v>-3042721.8310339907</v>
      </c>
      <c r="AW95" s="6">
        <f t="shared" si="43"/>
        <v>-1593472.6663519195</v>
      </c>
      <c r="AX95" s="6">
        <f t="shared" si="43"/>
        <v>-834728.32375568047</v>
      </c>
      <c r="AY95" s="6">
        <f t="shared" si="43"/>
        <v>-437699.58812023624</v>
      </c>
      <c r="AZ95" s="6">
        <f t="shared" si="43"/>
        <v>-230340.67400356109</v>
      </c>
      <c r="BA95" s="6">
        <f t="shared" si="43"/>
        <v>-122796.0519550957</v>
      </c>
      <c r="BB95" s="6">
        <f t="shared" si="43"/>
        <v>-68463.052420505119</v>
      </c>
      <c r="BC95" s="6">
        <f t="shared" si="43"/>
        <v>-43797.375601466774</v>
      </c>
      <c r="BD95" s="6">
        <f t="shared" si="47"/>
        <v>-38110.561543064025</v>
      </c>
      <c r="BE95" s="6">
        <f t="shared" si="47"/>
        <v>-48938.324153322355</v>
      </c>
      <c r="BF95" s="6">
        <f t="shared" si="47"/>
        <v>-80972.693896687037</v>
      </c>
      <c r="BG95" s="6">
        <f t="shared" si="47"/>
        <v>-148095.23099528282</v>
      </c>
      <c r="BH95" s="6">
        <f t="shared" si="47"/>
        <v>-279392.36819183442</v>
      </c>
      <c r="BI95" s="6">
        <f t="shared" si="47"/>
        <v>-531759.53160484775</v>
      </c>
      <c r="BJ95" s="6">
        <f t="shared" si="47"/>
        <v>-1014555.8253799618</v>
      </c>
      <c r="BK95" s="6">
        <f t="shared" si="47"/>
        <v>-1936992.9768197257</v>
      </c>
      <c r="BL95" s="6">
        <f t="shared" si="47"/>
        <v>-3698793.7515480374</v>
      </c>
      <c r="BM95" s="6">
        <f t="shared" si="47"/>
        <v>-7063405.1519471649</v>
      </c>
      <c r="BN95" s="6">
        <f t="shared" si="47"/>
        <v>-13488825.451523397</v>
      </c>
      <c r="BO95" s="6">
        <f t="shared" si="47"/>
        <v>-25759403.446759775</v>
      </c>
      <c r="BP95" s="6">
        <f t="shared" si="47"/>
        <v>-49192389.60225872</v>
      </c>
      <c r="BQ95" s="6">
        <f t="shared" si="47"/>
        <v>-93942077.918736458</v>
      </c>
      <c r="BR95" s="6">
        <f t="shared" si="47"/>
        <v>-179400000</v>
      </c>
      <c r="BT95" s="24"/>
      <c r="BU95" s="4">
        <v>3.0000000000000002E-2</v>
      </c>
      <c r="BV95" s="6">
        <f t="shared" si="44"/>
        <v>0.5236522642828606</v>
      </c>
      <c r="BW95" s="6">
        <f t="shared" si="44"/>
        <v>0.5236522642828606</v>
      </c>
      <c r="BX95" s="6">
        <f t="shared" si="44"/>
        <v>0.5236522642828606</v>
      </c>
      <c r="BY95" s="6">
        <f t="shared" si="44"/>
        <v>0.5236522642828606</v>
      </c>
      <c r="BZ95" s="6">
        <f t="shared" si="44"/>
        <v>0.5236522642828606</v>
      </c>
      <c r="CA95" s="6">
        <f t="shared" si="44"/>
        <v>0.5236522642828606</v>
      </c>
      <c r="CB95" s="6">
        <f t="shared" si="44"/>
        <v>0.5236522642828606</v>
      </c>
      <c r="CC95" s="6">
        <f t="shared" si="44"/>
        <v>0.5236522642828606</v>
      </c>
      <c r="CD95" s="6">
        <f t="shared" si="44"/>
        <v>0.5236522642828606</v>
      </c>
      <c r="CE95" s="6">
        <f t="shared" si="44"/>
        <v>0.5236522642828606</v>
      </c>
      <c r="CF95" s="6">
        <f t="shared" si="44"/>
        <v>0.5236522642828606</v>
      </c>
      <c r="CG95" s="6">
        <f t="shared" si="44"/>
        <v>0.5236522642828606</v>
      </c>
      <c r="CH95" s="6">
        <f t="shared" si="44"/>
        <v>0.5236522642828606</v>
      </c>
      <c r="CI95" s="6">
        <f t="shared" si="44"/>
        <v>0.5236522642828606</v>
      </c>
      <c r="CJ95" s="6">
        <f t="shared" si="44"/>
        <v>0.5236522642828606</v>
      </c>
      <c r="CK95" s="6">
        <f t="shared" si="44"/>
        <v>0.5236522642828606</v>
      </c>
      <c r="CL95" s="6">
        <f t="shared" si="50"/>
        <v>0.5236522642828606</v>
      </c>
      <c r="CM95" s="6">
        <f t="shared" si="50"/>
        <v>0.5236522642828606</v>
      </c>
      <c r="CN95" s="6">
        <f t="shared" si="50"/>
        <v>0.5236522642828606</v>
      </c>
      <c r="CO95" s="6">
        <f t="shared" si="50"/>
        <v>0.5236522642828606</v>
      </c>
      <c r="CP95" s="6">
        <f t="shared" si="50"/>
        <v>0.5236522642828606</v>
      </c>
      <c r="CQ95" s="6">
        <f t="shared" si="50"/>
        <v>0.5236522642828606</v>
      </c>
      <c r="CR95" s="6">
        <f t="shared" si="50"/>
        <v>0.5236522642828606</v>
      </c>
      <c r="CS95" s="6">
        <f t="shared" si="50"/>
        <v>0.5236522642828606</v>
      </c>
      <c r="CT95" s="6">
        <f t="shared" si="50"/>
        <v>0.5236522642828606</v>
      </c>
      <c r="CU95" s="6">
        <f t="shared" si="48"/>
        <v>0.5236522642828606</v>
      </c>
      <c r="CV95" s="6">
        <f t="shared" si="48"/>
        <v>0.5236522642828606</v>
      </c>
      <c r="CW95" s="6">
        <f t="shared" si="48"/>
        <v>0.5236522642828606</v>
      </c>
      <c r="CX95" s="6">
        <f t="shared" si="48"/>
        <v>0.5236522642828606</v>
      </c>
      <c r="CY95" s="6">
        <f t="shared" si="48"/>
        <v>0.5236522642828606</v>
      </c>
      <c r="CZ95" s="6">
        <f t="shared" si="48"/>
        <v>0.5236522642828606</v>
      </c>
      <c r="DB95" s="24"/>
      <c r="DC95" s="4">
        <v>3.0000000000000002E-2</v>
      </c>
      <c r="DD95" s="6">
        <f t="shared" si="45"/>
        <v>142.90432071514186</v>
      </c>
      <c r="DE95" s="6">
        <f t="shared" si="45"/>
        <v>74.831262422356986</v>
      </c>
      <c r="DF95" s="6">
        <f t="shared" si="45"/>
        <v>39.185084512593477</v>
      </c>
      <c r="DG95" s="6">
        <f t="shared" si="45"/>
        <v>20.519109891620495</v>
      </c>
      <c r="DH95" s="6">
        <f t="shared" si="45"/>
        <v>10.744749557016386</v>
      </c>
      <c r="DI95" s="6">
        <f t="shared" si="45"/>
        <v>5.6264473637860535</v>
      </c>
      <c r="DJ95" s="6">
        <f t="shared" si="45"/>
        <v>2.9462723615296773</v>
      </c>
      <c r="DK95" s="6">
        <f t="shared" si="45"/>
        <v>1.542815382602829</v>
      </c>
      <c r="DL95" s="6">
        <f t="shared" si="45"/>
        <v>0.80791173613720746</v>
      </c>
      <c r="DM95" s="6">
        <f t="shared" si="45"/>
        <v>0.42310317533104225</v>
      </c>
      <c r="DN95" s="6">
        <f t="shared" si="45"/>
        <v>0.22163932383499541</v>
      </c>
      <c r="DO95" s="6">
        <f t="shared" si="45"/>
        <v>0.11621917933411322</v>
      </c>
      <c r="DP95" s="6">
        <f t="shared" si="45"/>
        <v>6.1160679211346769E-2</v>
      </c>
      <c r="DQ95" s="6">
        <f t="shared" si="45"/>
        <v>3.2605140080163915E-2</v>
      </c>
      <c r="DR95" s="6">
        <f t="shared" si="45"/>
        <v>1.8178494983718752E-2</v>
      </c>
      <c r="DS95" s="6">
        <f t="shared" si="45"/>
        <v>1.1629197713551722E-2</v>
      </c>
      <c r="DT95" s="6">
        <f t="shared" si="51"/>
        <v>1.0119219452590434E-2</v>
      </c>
      <c r="DU95" s="6">
        <f t="shared" si="49"/>
        <v>1.2994236287751674E-2</v>
      </c>
      <c r="DV95" s="6">
        <f t="shared" si="49"/>
        <v>2.1500088847605302E-2</v>
      </c>
      <c r="DW95" s="6">
        <f t="shared" si="49"/>
        <v>3.932264657475458E-2</v>
      </c>
      <c r="DX95" s="6">
        <f t="shared" si="49"/>
        <v>7.4185017817630816E-2</v>
      </c>
      <c r="DY95" s="6">
        <f t="shared" si="49"/>
        <v>0.14119423011481375</v>
      </c>
      <c r="DZ95" s="6">
        <f t="shared" si="49"/>
        <v>0.26938760879508272</v>
      </c>
      <c r="EA95" s="6">
        <f t="shared" si="49"/>
        <v>0.51431561795322078</v>
      </c>
      <c r="EB95" s="6">
        <f t="shared" si="49"/>
        <v>0.982113728224421</v>
      </c>
      <c r="EC95" s="6">
        <f t="shared" si="49"/>
        <v>1.8754944540595371</v>
      </c>
      <c r="ED95" s="6">
        <f t="shared" si="49"/>
        <v>3.5815894433204529</v>
      </c>
      <c r="EE95" s="6">
        <f t="shared" si="49"/>
        <v>6.8397065246868989</v>
      </c>
      <c r="EF95" s="6">
        <f t="shared" si="49"/>
        <v>13.061696433417669</v>
      </c>
      <c r="EG95" s="6">
        <f t="shared" si="49"/>
        <v>24.943754796629431</v>
      </c>
      <c r="EH95" s="6">
        <f t="shared" si="49"/>
        <v>47.63477357171395</v>
      </c>
    </row>
    <row r="96" spans="5:138">
      <c r="E96" s="26"/>
      <c r="F96" s="4">
        <v>2.6666666666666668E-2</v>
      </c>
      <c r="G96" s="6">
        <f t="shared" si="40"/>
        <v>300</v>
      </c>
      <c r="H96" s="6">
        <f t="shared" si="53"/>
        <v>157.09377165338856</v>
      </c>
      <c r="I96" s="6">
        <f t="shared" si="53"/>
        <v>82.261511023245447</v>
      </c>
      <c r="J96" s="6">
        <f t="shared" si="53"/>
        <v>43.075905169842073</v>
      </c>
      <c r="K96" s="6">
        <f t="shared" si="53"/>
        <v>22.556524890036926</v>
      </c>
      <c r="L96" s="6">
        <f t="shared" si="53"/>
        <v>11.811638729247786</v>
      </c>
      <c r="M96" s="6">
        <f t="shared" si="53"/>
        <v>6.1851293511326908</v>
      </c>
      <c r="N96" s="6">
        <f t="shared" si="53"/>
        <v>3.2388426918417639</v>
      </c>
      <c r="O96" s="6">
        <f t="shared" si="53"/>
        <v>1.6960545323489358</v>
      </c>
      <c r="P96" s="6">
        <f t="shared" si="53"/>
        <v>0.88822333687397981</v>
      </c>
      <c r="Q96" s="6">
        <f t="shared" si="54"/>
        <v>0.46528892071108169</v>
      </c>
      <c r="R96" s="6">
        <f t="shared" si="54"/>
        <v>0.24397970352298567</v>
      </c>
      <c r="S96" s="6">
        <f t="shared" si="54"/>
        <v>0.12839502452818347</v>
      </c>
      <c r="T96" s="6">
        <f t="shared" si="54"/>
        <v>6.8448189495594045E-2</v>
      </c>
      <c r="U96" s="6">
        <f t="shared" si="54"/>
        <v>3.8162236577762056E-2</v>
      </c>
      <c r="V96" s="6">
        <f t="shared" si="54"/>
        <v>2.441325284362697E-2</v>
      </c>
      <c r="W96" s="6">
        <f t="shared" si="54"/>
        <v>2.1243345341730224E-2</v>
      </c>
      <c r="X96" s="6">
        <f t="shared" si="54"/>
        <v>2.7278887487916591E-2</v>
      </c>
      <c r="Y96" s="6">
        <f t="shared" si="54"/>
        <v>4.5135280878866806E-2</v>
      </c>
      <c r="Z96" s="6">
        <f t="shared" si="54"/>
        <v>8.2550295983992661E-2</v>
      </c>
      <c r="AA96" s="6">
        <f t="shared" si="54"/>
        <v>0.1557371060155153</v>
      </c>
      <c r="AB96" s="6">
        <f t="shared" si="54"/>
        <v>0.29640999532042794</v>
      </c>
      <c r="AC96" s="6">
        <f t="shared" si="54"/>
        <v>0.56552721593085953</v>
      </c>
      <c r="AD96" s="6">
        <f t="shared" si="54"/>
        <v>1.0797062301113298</v>
      </c>
      <c r="AE96" s="6">
        <f t="shared" si="54"/>
        <v>2.0617579440067098</v>
      </c>
      <c r="AF96" s="6">
        <f t="shared" si="54"/>
        <v>3.937238100304997</v>
      </c>
      <c r="AG96" s="6">
        <f t="shared" si="54"/>
        <v>7.5188547667354513</v>
      </c>
      <c r="AH96" s="6">
        <f t="shared" si="54"/>
        <v>14.358641832084601</v>
      </c>
      <c r="AI96" s="6">
        <f t="shared" si="54"/>
        <v>27.420507024670414</v>
      </c>
      <c r="AJ96" s="6">
        <f t="shared" si="54"/>
        <v>52.364591927946748</v>
      </c>
      <c r="AK96" s="6">
        <f t="shared" si="42"/>
        <v>100</v>
      </c>
      <c r="AL96" s="24"/>
      <c r="AM96" s="4">
        <v>2.6666666666666668E-2</v>
      </c>
      <c r="AN96" s="6">
        <f t="shared" si="43"/>
        <v>-538200000</v>
      </c>
      <c r="AO96" s="6">
        <f t="shared" si="43"/>
        <v>-281826226.34617907</v>
      </c>
      <c r="AP96" s="6">
        <f t="shared" si="43"/>
        <v>-147577150.77570233</v>
      </c>
      <c r="AQ96" s="6">
        <f t="shared" si="43"/>
        <v>-77278173.874696672</v>
      </c>
      <c r="AR96" s="6">
        <f t="shared" si="43"/>
        <v>-40466405.65272624</v>
      </c>
      <c r="AS96" s="6">
        <f t="shared" si="43"/>
        <v>-21190079.880270526</v>
      </c>
      <c r="AT96" s="6">
        <f t="shared" si="43"/>
        <v>-11096122.055932045</v>
      </c>
      <c r="AU96" s="6">
        <f t="shared" si="43"/>
        <v>-5810483.7891641241</v>
      </c>
      <c r="AV96" s="6">
        <f t="shared" si="43"/>
        <v>-3042721.8310339907</v>
      </c>
      <c r="AW96" s="6">
        <f t="shared" si="43"/>
        <v>-1593472.6663519195</v>
      </c>
      <c r="AX96" s="6">
        <f t="shared" si="43"/>
        <v>-834728.32375568047</v>
      </c>
      <c r="AY96" s="6">
        <f t="shared" si="43"/>
        <v>-437699.58812023624</v>
      </c>
      <c r="AZ96" s="6">
        <f t="shared" si="43"/>
        <v>-230340.67400356109</v>
      </c>
      <c r="BA96" s="6">
        <f t="shared" si="43"/>
        <v>-122796.0519550957</v>
      </c>
      <c r="BB96" s="6">
        <f t="shared" si="43"/>
        <v>-68463.052420505119</v>
      </c>
      <c r="BC96" s="6">
        <f t="shared" si="43"/>
        <v>-43797.375601466774</v>
      </c>
      <c r="BD96" s="6">
        <f t="shared" si="47"/>
        <v>-38110.561543064025</v>
      </c>
      <c r="BE96" s="6">
        <f t="shared" si="47"/>
        <v>-48938.324153322355</v>
      </c>
      <c r="BF96" s="6">
        <f t="shared" si="47"/>
        <v>-80972.693896687037</v>
      </c>
      <c r="BG96" s="6">
        <f t="shared" si="47"/>
        <v>-148095.23099528282</v>
      </c>
      <c r="BH96" s="6">
        <f t="shared" si="47"/>
        <v>-279392.36819183442</v>
      </c>
      <c r="BI96" s="6">
        <f t="shared" si="47"/>
        <v>-531759.53160484775</v>
      </c>
      <c r="BJ96" s="6">
        <f t="shared" si="47"/>
        <v>-1014555.8253799618</v>
      </c>
      <c r="BK96" s="6">
        <f t="shared" si="47"/>
        <v>-1936992.9768197257</v>
      </c>
      <c r="BL96" s="6">
        <f t="shared" si="47"/>
        <v>-3698793.7515480374</v>
      </c>
      <c r="BM96" s="6">
        <f t="shared" si="47"/>
        <v>-7063405.1519471649</v>
      </c>
      <c r="BN96" s="6">
        <f t="shared" si="47"/>
        <v>-13488825.451523397</v>
      </c>
      <c r="BO96" s="6">
        <f t="shared" si="47"/>
        <v>-25759403.446759775</v>
      </c>
      <c r="BP96" s="6">
        <f t="shared" si="47"/>
        <v>-49192389.60225872</v>
      </c>
      <c r="BQ96" s="6">
        <f t="shared" si="47"/>
        <v>-93942077.918736458</v>
      </c>
      <c r="BR96" s="6">
        <f t="shared" si="47"/>
        <v>-179400000</v>
      </c>
      <c r="BT96" s="24"/>
      <c r="BU96" s="4">
        <v>2.6666666666666668E-2</v>
      </c>
      <c r="BV96" s="6">
        <f t="shared" si="44"/>
        <v>0.52366909962760211</v>
      </c>
      <c r="BW96" s="6">
        <f t="shared" si="44"/>
        <v>0.52366909962760211</v>
      </c>
      <c r="BX96" s="6">
        <f t="shared" si="44"/>
        <v>0.52366909962760211</v>
      </c>
      <c r="BY96" s="6">
        <f t="shared" si="44"/>
        <v>0.52366909962760211</v>
      </c>
      <c r="BZ96" s="6">
        <f t="shared" si="44"/>
        <v>0.52366909962760211</v>
      </c>
      <c r="CA96" s="6">
        <f t="shared" si="44"/>
        <v>0.52366909962760211</v>
      </c>
      <c r="CB96" s="6">
        <f t="shared" si="44"/>
        <v>0.52366909962760211</v>
      </c>
      <c r="CC96" s="6">
        <f t="shared" si="44"/>
        <v>0.52366909962760211</v>
      </c>
      <c r="CD96" s="6">
        <f t="shared" si="44"/>
        <v>0.52366909962760211</v>
      </c>
      <c r="CE96" s="6">
        <f t="shared" si="44"/>
        <v>0.52366909962760211</v>
      </c>
      <c r="CF96" s="6">
        <f t="shared" si="44"/>
        <v>0.52366909962760211</v>
      </c>
      <c r="CG96" s="6">
        <f t="shared" si="44"/>
        <v>0.52366909962760211</v>
      </c>
      <c r="CH96" s="6">
        <f t="shared" si="44"/>
        <v>0.52366909962760211</v>
      </c>
      <c r="CI96" s="6">
        <f t="shared" si="44"/>
        <v>0.52366909962760211</v>
      </c>
      <c r="CJ96" s="6">
        <f t="shared" si="44"/>
        <v>0.52366909962760211</v>
      </c>
      <c r="CK96" s="6">
        <f t="shared" si="44"/>
        <v>0.52366909962760211</v>
      </c>
      <c r="CL96" s="6">
        <f t="shared" si="50"/>
        <v>0.52366909962760211</v>
      </c>
      <c r="CM96" s="6">
        <f t="shared" si="50"/>
        <v>0.52366909962760211</v>
      </c>
      <c r="CN96" s="6">
        <f t="shared" si="50"/>
        <v>0.52366909962760211</v>
      </c>
      <c r="CO96" s="6">
        <f t="shared" si="50"/>
        <v>0.52366909962760211</v>
      </c>
      <c r="CP96" s="6">
        <f t="shared" si="50"/>
        <v>0.52366909962760211</v>
      </c>
      <c r="CQ96" s="6">
        <f t="shared" si="50"/>
        <v>0.52366909962760211</v>
      </c>
      <c r="CR96" s="6">
        <f t="shared" si="50"/>
        <v>0.52366909962760211</v>
      </c>
      <c r="CS96" s="6">
        <f t="shared" si="50"/>
        <v>0.52366909962760211</v>
      </c>
      <c r="CT96" s="6">
        <f t="shared" si="50"/>
        <v>0.52366909962760211</v>
      </c>
      <c r="CU96" s="6">
        <f t="shared" si="48"/>
        <v>0.52366909962760211</v>
      </c>
      <c r="CV96" s="6">
        <f t="shared" si="48"/>
        <v>0.52366909962760211</v>
      </c>
      <c r="CW96" s="6">
        <f t="shared" si="48"/>
        <v>0.52366909962760211</v>
      </c>
      <c r="CX96" s="6">
        <f t="shared" si="48"/>
        <v>0.52366909962760211</v>
      </c>
      <c r="CY96" s="6">
        <f t="shared" si="48"/>
        <v>0.52366909962760211</v>
      </c>
      <c r="CZ96" s="6">
        <f t="shared" si="48"/>
        <v>0.52366909962760211</v>
      </c>
      <c r="DB96" s="24"/>
      <c r="DC96" s="4">
        <v>2.6666666666666668E-2</v>
      </c>
      <c r="DD96" s="6">
        <f t="shared" si="45"/>
        <v>142.8992701117194</v>
      </c>
      <c r="DE96" s="6">
        <f t="shared" si="45"/>
        <v>74.828617694554438</v>
      </c>
      <c r="DF96" s="6">
        <f t="shared" si="45"/>
        <v>39.18369961169644</v>
      </c>
      <c r="DG96" s="6">
        <f t="shared" si="45"/>
        <v>20.518384693906906</v>
      </c>
      <c r="DH96" s="6">
        <f t="shared" si="45"/>
        <v>10.744369810143692</v>
      </c>
      <c r="DI96" s="6">
        <f t="shared" si="45"/>
        <v>5.626248510776084</v>
      </c>
      <c r="DJ96" s="6">
        <f t="shared" si="45"/>
        <v>2.9461682327447796</v>
      </c>
      <c r="DK96" s="6">
        <f t="shared" si="45"/>
        <v>1.5427608555695482</v>
      </c>
      <c r="DL96" s="6">
        <f t="shared" si="45"/>
        <v>0.8078831824744549</v>
      </c>
      <c r="DM96" s="6">
        <f t="shared" si="45"/>
        <v>0.42308822178495847</v>
      </c>
      <c r="DN96" s="6">
        <f t="shared" si="45"/>
        <v>0.22163149053561079</v>
      </c>
      <c r="DO96" s="6">
        <f t="shared" si="45"/>
        <v>0.11621507185169447</v>
      </c>
      <c r="DP96" s="6">
        <f t="shared" si="45"/>
        <v>6.1158517636845738E-2</v>
      </c>
      <c r="DQ96" s="6">
        <f t="shared" si="45"/>
        <v>3.2603987731296816E-2</v>
      </c>
      <c r="DR96" s="6">
        <f t="shared" si="45"/>
        <v>1.8177852509309856E-2</v>
      </c>
      <c r="DS96" s="6">
        <f t="shared" si="45"/>
        <v>1.1628786708023838E-2</v>
      </c>
      <c r="DT96" s="6">
        <f t="shared" si="51"/>
        <v>1.0118861813548144E-2</v>
      </c>
      <c r="DU96" s="6">
        <f t="shared" si="49"/>
        <v>1.2993777038276651E-2</v>
      </c>
      <c r="DV96" s="6">
        <f t="shared" si="49"/>
        <v>2.1499328979591701E-2</v>
      </c>
      <c r="DW96" s="6">
        <f t="shared" si="49"/>
        <v>3.9321256812063173E-2</v>
      </c>
      <c r="DX96" s="6">
        <f t="shared" si="49"/>
        <v>7.4182395929761988E-2</v>
      </c>
      <c r="DY96" s="6">
        <f t="shared" si="49"/>
        <v>0.1411892399503577</v>
      </c>
      <c r="DZ96" s="6">
        <f t="shared" si="49"/>
        <v>0.26937808794944179</v>
      </c>
      <c r="EA96" s="6">
        <f t="shared" si="49"/>
        <v>0.51429744072661721</v>
      </c>
      <c r="EB96" s="6">
        <f t="shared" si="49"/>
        <v>0.98207901781866003</v>
      </c>
      <c r="EC96" s="6">
        <f t="shared" si="49"/>
        <v>1.8754281692987889</v>
      </c>
      <c r="ED96" s="6">
        <f t="shared" si="49"/>
        <v>3.5814628608083932</v>
      </c>
      <c r="EE96" s="6">
        <f t="shared" si="49"/>
        <v>6.8394647920016354</v>
      </c>
      <c r="EF96" s="6">
        <f t="shared" si="49"/>
        <v>13.06123479972892</v>
      </c>
      <c r="EG96" s="6">
        <f t="shared" si="49"/>
        <v>24.942873220672077</v>
      </c>
      <c r="EH96" s="6">
        <f t="shared" si="49"/>
        <v>47.633090037239796</v>
      </c>
    </row>
    <row r="97" spans="5:138">
      <c r="E97" s="26"/>
      <c r="F97" s="4">
        <v>2.3333333333333334E-2</v>
      </c>
      <c r="G97" s="6">
        <f t="shared" si="40"/>
        <v>300</v>
      </c>
      <c r="H97" s="6">
        <f t="shared" si="53"/>
        <v>157.09377165338856</v>
      </c>
      <c r="I97" s="6">
        <f t="shared" si="53"/>
        <v>82.261511023245447</v>
      </c>
      <c r="J97" s="6">
        <f t="shared" si="53"/>
        <v>43.075905169842073</v>
      </c>
      <c r="K97" s="6">
        <f t="shared" si="53"/>
        <v>22.556524890036926</v>
      </c>
      <c r="L97" s="6">
        <f t="shared" si="53"/>
        <v>11.811638729247786</v>
      </c>
      <c r="M97" s="6">
        <f t="shared" si="53"/>
        <v>6.1851293511326908</v>
      </c>
      <c r="N97" s="6">
        <f t="shared" si="53"/>
        <v>3.2388426918417643</v>
      </c>
      <c r="O97" s="6">
        <f t="shared" si="53"/>
        <v>1.6960545323489358</v>
      </c>
      <c r="P97" s="6">
        <f t="shared" si="53"/>
        <v>0.88822333687397981</v>
      </c>
      <c r="Q97" s="6">
        <f t="shared" si="54"/>
        <v>0.46528892071108169</v>
      </c>
      <c r="R97" s="6">
        <f t="shared" si="54"/>
        <v>0.2439797035229857</v>
      </c>
      <c r="S97" s="6">
        <f t="shared" si="54"/>
        <v>0.12839502452818347</v>
      </c>
      <c r="T97" s="6">
        <f t="shared" si="54"/>
        <v>6.8448189495594031E-2</v>
      </c>
      <c r="U97" s="6">
        <f t="shared" si="54"/>
        <v>3.8162236577762056E-2</v>
      </c>
      <c r="V97" s="6">
        <f t="shared" si="54"/>
        <v>2.441325284362697E-2</v>
      </c>
      <c r="W97" s="6">
        <f t="shared" si="54"/>
        <v>2.1243345341730224E-2</v>
      </c>
      <c r="X97" s="6">
        <f t="shared" si="54"/>
        <v>2.7278887487916591E-2</v>
      </c>
      <c r="Y97" s="6">
        <f t="shared" si="54"/>
        <v>4.5135280878866806E-2</v>
      </c>
      <c r="Z97" s="6">
        <f t="shared" si="54"/>
        <v>8.2550295983992661E-2</v>
      </c>
      <c r="AA97" s="6">
        <f t="shared" si="54"/>
        <v>0.15573710601551533</v>
      </c>
      <c r="AB97" s="6">
        <f t="shared" si="54"/>
        <v>0.296409995320428</v>
      </c>
      <c r="AC97" s="6">
        <f t="shared" si="54"/>
        <v>0.56552721593085953</v>
      </c>
      <c r="AD97" s="6">
        <f t="shared" si="54"/>
        <v>1.0797062301113298</v>
      </c>
      <c r="AE97" s="6">
        <f t="shared" si="54"/>
        <v>2.0617579440067098</v>
      </c>
      <c r="AF97" s="6">
        <f t="shared" si="54"/>
        <v>3.937238100304997</v>
      </c>
      <c r="AG97" s="6">
        <f t="shared" si="54"/>
        <v>7.5188547667354513</v>
      </c>
      <c r="AH97" s="6">
        <f t="shared" si="54"/>
        <v>14.358641832084601</v>
      </c>
      <c r="AI97" s="6">
        <f t="shared" si="54"/>
        <v>27.420507024670414</v>
      </c>
      <c r="AJ97" s="6">
        <f t="shared" si="54"/>
        <v>52.364591927946748</v>
      </c>
      <c r="AK97" s="6">
        <f t="shared" si="42"/>
        <v>100</v>
      </c>
      <c r="AL97" s="24"/>
      <c r="AM97" s="4">
        <v>2.3333333333333334E-2</v>
      </c>
      <c r="AN97" s="6">
        <f t="shared" si="43"/>
        <v>-538200000</v>
      </c>
      <c r="AO97" s="6">
        <f t="shared" si="43"/>
        <v>-281826226.34617907</v>
      </c>
      <c r="AP97" s="6">
        <f t="shared" si="43"/>
        <v>-147577150.77570233</v>
      </c>
      <c r="AQ97" s="6">
        <f t="shared" si="43"/>
        <v>-77278173.874696672</v>
      </c>
      <c r="AR97" s="6">
        <f t="shared" si="43"/>
        <v>-40466405.65272624</v>
      </c>
      <c r="AS97" s="6">
        <f t="shared" si="43"/>
        <v>-21190079.880270526</v>
      </c>
      <c r="AT97" s="6">
        <f t="shared" si="43"/>
        <v>-11096122.055932045</v>
      </c>
      <c r="AU97" s="6">
        <f t="shared" si="43"/>
        <v>-5810483.7891641241</v>
      </c>
      <c r="AV97" s="6">
        <f t="shared" si="43"/>
        <v>-3042721.8310339907</v>
      </c>
      <c r="AW97" s="6">
        <f t="shared" si="43"/>
        <v>-1593472.6663519195</v>
      </c>
      <c r="AX97" s="6">
        <f t="shared" si="43"/>
        <v>-834728.32375568047</v>
      </c>
      <c r="AY97" s="6">
        <f t="shared" si="43"/>
        <v>-437699.58812023624</v>
      </c>
      <c r="AZ97" s="6">
        <f t="shared" si="43"/>
        <v>-230340.67400356109</v>
      </c>
      <c r="BA97" s="6">
        <f t="shared" si="43"/>
        <v>-122796.0519550957</v>
      </c>
      <c r="BB97" s="6">
        <f t="shared" si="43"/>
        <v>-68463.052420505119</v>
      </c>
      <c r="BC97" s="6">
        <f t="shared" si="43"/>
        <v>-43797.375601466774</v>
      </c>
      <c r="BD97" s="6">
        <f t="shared" si="47"/>
        <v>-38110.561543064025</v>
      </c>
      <c r="BE97" s="6">
        <f t="shared" si="47"/>
        <v>-48938.324153322355</v>
      </c>
      <c r="BF97" s="6">
        <f t="shared" si="47"/>
        <v>-80972.693896687037</v>
      </c>
      <c r="BG97" s="6">
        <f t="shared" si="47"/>
        <v>-148095.23099528282</v>
      </c>
      <c r="BH97" s="6">
        <f t="shared" si="47"/>
        <v>-279392.36819183442</v>
      </c>
      <c r="BI97" s="6">
        <f t="shared" si="47"/>
        <v>-531759.53160484775</v>
      </c>
      <c r="BJ97" s="6">
        <f t="shared" si="47"/>
        <v>-1014555.8253799618</v>
      </c>
      <c r="BK97" s="6">
        <f t="shared" si="47"/>
        <v>-1936992.9768197257</v>
      </c>
      <c r="BL97" s="6">
        <f t="shared" si="47"/>
        <v>-3698793.7515480374</v>
      </c>
      <c r="BM97" s="6">
        <f t="shared" si="47"/>
        <v>-7063405.1519471649</v>
      </c>
      <c r="BN97" s="6">
        <f t="shared" si="47"/>
        <v>-13488825.451523397</v>
      </c>
      <c r="BO97" s="6">
        <f t="shared" si="47"/>
        <v>-25759403.446759775</v>
      </c>
      <c r="BP97" s="6">
        <f t="shared" si="47"/>
        <v>-49192389.60225872</v>
      </c>
      <c r="BQ97" s="6">
        <f t="shared" si="47"/>
        <v>-93942077.918736458</v>
      </c>
      <c r="BR97" s="6">
        <f t="shared" si="47"/>
        <v>-179400000</v>
      </c>
      <c r="BT97" s="24"/>
      <c r="BU97" s="4">
        <v>2.3333333333333334E-2</v>
      </c>
      <c r="BV97" s="6">
        <f t="shared" si="44"/>
        <v>0.52373049308338915</v>
      </c>
      <c r="BW97" s="6">
        <f t="shared" si="44"/>
        <v>0.52373049308338915</v>
      </c>
      <c r="BX97" s="6">
        <f t="shared" si="44"/>
        <v>0.52373049308338915</v>
      </c>
      <c r="BY97" s="6">
        <f t="shared" si="44"/>
        <v>0.52373049308338915</v>
      </c>
      <c r="BZ97" s="6">
        <f t="shared" si="44"/>
        <v>0.52373049308338915</v>
      </c>
      <c r="CA97" s="6">
        <f t="shared" si="44"/>
        <v>0.52373049308338915</v>
      </c>
      <c r="CB97" s="6">
        <f t="shared" si="44"/>
        <v>0.52373049308338915</v>
      </c>
      <c r="CC97" s="6">
        <f t="shared" si="44"/>
        <v>0.52373049308338915</v>
      </c>
      <c r="CD97" s="6">
        <f t="shared" si="44"/>
        <v>0.52373049308338915</v>
      </c>
      <c r="CE97" s="6">
        <f t="shared" si="44"/>
        <v>0.52373049308338915</v>
      </c>
      <c r="CF97" s="6">
        <f t="shared" si="44"/>
        <v>0.52373049308338915</v>
      </c>
      <c r="CG97" s="6">
        <f t="shared" si="44"/>
        <v>0.52373049308338915</v>
      </c>
      <c r="CH97" s="6">
        <f t="shared" si="44"/>
        <v>0.52373049308338915</v>
      </c>
      <c r="CI97" s="6">
        <f t="shared" si="44"/>
        <v>0.52373049308338915</v>
      </c>
      <c r="CJ97" s="6">
        <f t="shared" si="44"/>
        <v>0.52373049308338915</v>
      </c>
      <c r="CK97" s="6">
        <f t="shared" ref="CK97:CK103" si="55">$B$20/($B$21-$B$22*CK98)</f>
        <v>0.52373049308338915</v>
      </c>
      <c r="CL97" s="6">
        <f t="shared" si="50"/>
        <v>0.52373049308338915</v>
      </c>
      <c r="CM97" s="6">
        <f t="shared" si="50"/>
        <v>0.52373049308338915</v>
      </c>
      <c r="CN97" s="6">
        <f t="shared" si="50"/>
        <v>0.52373049308338915</v>
      </c>
      <c r="CO97" s="6">
        <f t="shared" si="50"/>
        <v>0.52373049308338915</v>
      </c>
      <c r="CP97" s="6">
        <f t="shared" si="50"/>
        <v>0.52373049308338915</v>
      </c>
      <c r="CQ97" s="6">
        <f t="shared" si="50"/>
        <v>0.52373049308338915</v>
      </c>
      <c r="CR97" s="6">
        <f t="shared" si="50"/>
        <v>0.52373049308338915</v>
      </c>
      <c r="CS97" s="6">
        <f t="shared" si="50"/>
        <v>0.52373049308338915</v>
      </c>
      <c r="CT97" s="6">
        <f t="shared" si="50"/>
        <v>0.52373049308338915</v>
      </c>
      <c r="CU97" s="6">
        <f t="shared" si="48"/>
        <v>0.52373049308338915</v>
      </c>
      <c r="CV97" s="6">
        <f t="shared" si="48"/>
        <v>0.52373049308338915</v>
      </c>
      <c r="CW97" s="6">
        <f t="shared" si="48"/>
        <v>0.52373049308338915</v>
      </c>
      <c r="CX97" s="6">
        <f t="shared" si="48"/>
        <v>0.52373049308338915</v>
      </c>
      <c r="CY97" s="6">
        <f t="shared" si="48"/>
        <v>0.52373049308338915</v>
      </c>
      <c r="CZ97" s="6">
        <f t="shared" si="48"/>
        <v>0.52373049308338915</v>
      </c>
      <c r="DB97" s="24"/>
      <c r="DC97" s="4">
        <v>2.3333333333333334E-2</v>
      </c>
      <c r="DD97" s="6">
        <f t="shared" si="45"/>
        <v>142.88085207498327</v>
      </c>
      <c r="DE97" s="6">
        <f t="shared" si="45"/>
        <v>74.81897316503003</v>
      </c>
      <c r="DF97" s="6">
        <f t="shared" si="45"/>
        <v>39.178649293256463</v>
      </c>
      <c r="DG97" s="6">
        <f t="shared" si="45"/>
        <v>20.515740115227374</v>
      </c>
      <c r="DH97" s="6">
        <f t="shared" si="45"/>
        <v>10.742984987130146</v>
      </c>
      <c r="DI97" s="6">
        <f t="shared" si="45"/>
        <v>5.6255233534559874</v>
      </c>
      <c r="DJ97" s="6">
        <f t="shared" si="45"/>
        <v>2.9457885062794236</v>
      </c>
      <c r="DK97" s="6">
        <f t="shared" si="45"/>
        <v>1.5425620118239456</v>
      </c>
      <c r="DL97" s="6">
        <f t="shared" si="45"/>
        <v>0.80777905582551079</v>
      </c>
      <c r="DM97" s="6">
        <f t="shared" si="45"/>
        <v>0.42303369068479707</v>
      </c>
      <c r="DN97" s="6">
        <f t="shared" si="45"/>
        <v>0.22160292484082891</v>
      </c>
      <c r="DO97" s="6">
        <f t="shared" si="45"/>
        <v>0.1162000930945533</v>
      </c>
      <c r="DP97" s="6">
        <f t="shared" si="45"/>
        <v>6.1150635022584096E-2</v>
      </c>
      <c r="DQ97" s="6">
        <f t="shared" si="45"/>
        <v>3.2599785460401313E-2</v>
      </c>
      <c r="DR97" s="6">
        <f t="shared" si="45"/>
        <v>1.8175509597725785E-2</v>
      </c>
      <c r="DS97" s="6">
        <f t="shared" si="45"/>
        <v>1.1627287894064765E-2</v>
      </c>
      <c r="DT97" s="6">
        <f t="shared" si="51"/>
        <v>1.0117557611165137E-2</v>
      </c>
      <c r="DU97" s="6">
        <f t="shared" si="49"/>
        <v>1.2992102293103741E-2</v>
      </c>
      <c r="DV97" s="6">
        <f t="shared" si="49"/>
        <v>2.1496557968720627E-2</v>
      </c>
      <c r="DW97" s="6">
        <f t="shared" si="49"/>
        <v>3.9316188764116473E-2</v>
      </c>
      <c r="DX97" s="6">
        <f t="shared" si="49"/>
        <v>7.4172834690629436E-2</v>
      </c>
      <c r="DY97" s="6">
        <f t="shared" si="49"/>
        <v>0.14117104231641517</v>
      </c>
      <c r="DZ97" s="6">
        <f t="shared" si="49"/>
        <v>0.26934336827931415</v>
      </c>
      <c r="EA97" s="6">
        <f t="shared" si="49"/>
        <v>0.51423115382991591</v>
      </c>
      <c r="EB97" s="6">
        <f t="shared" si="49"/>
        <v>0.9819524393734812</v>
      </c>
      <c r="EC97" s="6">
        <f t="shared" si="49"/>
        <v>1.8751864486455549</v>
      </c>
      <c r="ED97" s="6">
        <f t="shared" si="49"/>
        <v>3.5810012523307022</v>
      </c>
      <c r="EE97" s="6">
        <f t="shared" si="49"/>
        <v>6.8385832653591558</v>
      </c>
      <c r="EF97" s="6">
        <f t="shared" si="49"/>
        <v>13.059551360043244</v>
      </c>
      <c r="EG97" s="6">
        <f t="shared" si="49"/>
        <v>24.939658377412741</v>
      </c>
      <c r="EH97" s="6">
        <f t="shared" si="49"/>
        <v>47.626950691661094</v>
      </c>
    </row>
    <row r="98" spans="5:138">
      <c r="E98" s="26"/>
      <c r="F98" s="4">
        <v>0.02</v>
      </c>
      <c r="G98" s="6">
        <f t="shared" si="40"/>
        <v>300</v>
      </c>
      <c r="H98" s="6">
        <f t="shared" si="53"/>
        <v>157.09377165338856</v>
      </c>
      <c r="I98" s="6">
        <f t="shared" si="53"/>
        <v>82.261511023245461</v>
      </c>
      <c r="J98" s="6">
        <f t="shared" si="53"/>
        <v>43.075905169842081</v>
      </c>
      <c r="K98" s="6">
        <f t="shared" si="53"/>
        <v>22.556524890036926</v>
      </c>
      <c r="L98" s="6">
        <f t="shared" si="53"/>
        <v>11.811638729247788</v>
      </c>
      <c r="M98" s="6">
        <f t="shared" si="53"/>
        <v>6.1851293511326908</v>
      </c>
      <c r="N98" s="6">
        <f t="shared" si="53"/>
        <v>3.2388426918417643</v>
      </c>
      <c r="O98" s="6">
        <f t="shared" si="53"/>
        <v>1.6960545323489362</v>
      </c>
      <c r="P98" s="6">
        <f t="shared" si="53"/>
        <v>0.88822333687397992</v>
      </c>
      <c r="Q98" s="6">
        <f t="shared" si="54"/>
        <v>0.46528892071108174</v>
      </c>
      <c r="R98" s="6">
        <f t="shared" si="54"/>
        <v>0.2439797035229857</v>
      </c>
      <c r="S98" s="6">
        <f t="shared" si="54"/>
        <v>0.12839502452818349</v>
      </c>
      <c r="T98" s="6">
        <f t="shared" si="54"/>
        <v>6.8448189495594045E-2</v>
      </c>
      <c r="U98" s="6">
        <f t="shared" si="54"/>
        <v>3.8162236577762063E-2</v>
      </c>
      <c r="V98" s="6">
        <f t="shared" si="54"/>
        <v>2.441325284362697E-2</v>
      </c>
      <c r="W98" s="6">
        <f t="shared" si="54"/>
        <v>2.1243345341730231E-2</v>
      </c>
      <c r="X98" s="6">
        <f t="shared" si="54"/>
        <v>2.7278887487916591E-2</v>
      </c>
      <c r="Y98" s="6">
        <f t="shared" si="54"/>
        <v>4.5135280878866813E-2</v>
      </c>
      <c r="Z98" s="6">
        <f t="shared" si="54"/>
        <v>8.2550295983992661E-2</v>
      </c>
      <c r="AA98" s="6">
        <f t="shared" si="54"/>
        <v>0.15573710601551533</v>
      </c>
      <c r="AB98" s="6">
        <f t="shared" si="54"/>
        <v>0.296409995320428</v>
      </c>
      <c r="AC98" s="6">
        <f t="shared" si="54"/>
        <v>0.56552721593085953</v>
      </c>
      <c r="AD98" s="6">
        <f t="shared" si="54"/>
        <v>1.07970623011133</v>
      </c>
      <c r="AE98" s="6">
        <f t="shared" si="54"/>
        <v>2.0617579440067102</v>
      </c>
      <c r="AF98" s="6">
        <f t="shared" si="54"/>
        <v>3.9372381003049979</v>
      </c>
      <c r="AG98" s="6">
        <f t="shared" si="54"/>
        <v>7.5188547667354513</v>
      </c>
      <c r="AH98" s="6">
        <f t="shared" si="54"/>
        <v>14.358641832084604</v>
      </c>
      <c r="AI98" s="6">
        <f t="shared" si="54"/>
        <v>27.420507024670421</v>
      </c>
      <c r="AJ98" s="6">
        <f t="shared" si="54"/>
        <v>52.364591927946755</v>
      </c>
      <c r="AK98" s="6">
        <f t="shared" si="42"/>
        <v>100</v>
      </c>
      <c r="AL98" s="24"/>
      <c r="AM98" s="4">
        <v>0.02</v>
      </c>
      <c r="AN98" s="6">
        <f t="shared" si="43"/>
        <v>-538200000</v>
      </c>
      <c r="AO98" s="6">
        <f t="shared" si="43"/>
        <v>-281826226.34617907</v>
      </c>
      <c r="AP98" s="6">
        <f t="shared" si="43"/>
        <v>-147577150.77570233</v>
      </c>
      <c r="AQ98" s="6">
        <f t="shared" si="43"/>
        <v>-77278173.874696672</v>
      </c>
      <c r="AR98" s="6">
        <f t="shared" si="43"/>
        <v>-40466405.65272624</v>
      </c>
      <c r="AS98" s="6">
        <f t="shared" si="43"/>
        <v>-21190079.880270526</v>
      </c>
      <c r="AT98" s="6">
        <f t="shared" si="43"/>
        <v>-11096122.055932045</v>
      </c>
      <c r="AU98" s="6">
        <f t="shared" ref="AU98:BJ104" si="56">-($B$12*$B$11)/$B$8*N63</f>
        <v>-5810483.7891641241</v>
      </c>
      <c r="AV98" s="6">
        <f t="shared" si="56"/>
        <v>-3042721.8310339907</v>
      </c>
      <c r="AW98" s="6">
        <f t="shared" si="56"/>
        <v>-1593472.6663519195</v>
      </c>
      <c r="AX98" s="6">
        <f t="shared" si="56"/>
        <v>-834728.32375568047</v>
      </c>
      <c r="AY98" s="6">
        <f t="shared" si="56"/>
        <v>-437699.58812023624</v>
      </c>
      <c r="AZ98" s="6">
        <f t="shared" si="56"/>
        <v>-230340.67400356109</v>
      </c>
      <c r="BA98" s="6">
        <f t="shared" si="56"/>
        <v>-122796.0519550957</v>
      </c>
      <c r="BB98" s="6">
        <f t="shared" si="56"/>
        <v>-68463.052420505119</v>
      </c>
      <c r="BC98" s="6">
        <f t="shared" si="56"/>
        <v>-43797.375601466774</v>
      </c>
      <c r="BD98" s="6">
        <f t="shared" si="47"/>
        <v>-38110.561543064025</v>
      </c>
      <c r="BE98" s="6">
        <f t="shared" si="47"/>
        <v>-48938.324153322355</v>
      </c>
      <c r="BF98" s="6">
        <f t="shared" si="47"/>
        <v>-80972.693896687037</v>
      </c>
      <c r="BG98" s="6">
        <f t="shared" si="47"/>
        <v>-148095.23099528282</v>
      </c>
      <c r="BH98" s="6">
        <f t="shared" si="47"/>
        <v>-279392.36819183442</v>
      </c>
      <c r="BI98" s="6">
        <f t="shared" si="47"/>
        <v>-531759.53160484775</v>
      </c>
      <c r="BJ98" s="6">
        <f t="shared" si="47"/>
        <v>-1014555.8253799618</v>
      </c>
      <c r="BK98" s="6">
        <f t="shared" si="47"/>
        <v>-1936992.9768197257</v>
      </c>
      <c r="BL98" s="6">
        <f t="shared" si="47"/>
        <v>-3698793.7515480374</v>
      </c>
      <c r="BM98" s="6">
        <f t="shared" si="47"/>
        <v>-7063405.1519471649</v>
      </c>
      <c r="BN98" s="6">
        <f t="shared" si="47"/>
        <v>-13488825.451523397</v>
      </c>
      <c r="BO98" s="6">
        <f t="shared" si="47"/>
        <v>-25759403.446759775</v>
      </c>
      <c r="BP98" s="6">
        <f t="shared" si="47"/>
        <v>-49192389.60225872</v>
      </c>
      <c r="BQ98" s="6">
        <f t="shared" si="47"/>
        <v>-93942077.918736458</v>
      </c>
      <c r="BR98" s="6">
        <f t="shared" si="47"/>
        <v>-179400000</v>
      </c>
      <c r="BT98" s="24"/>
      <c r="BU98" s="4">
        <v>0.02</v>
      </c>
      <c r="BV98" s="6">
        <f t="shared" ref="BV98:CJ103" si="57">$B$20/($B$21-$B$22*BV99)</f>
        <v>0.52395434317249412</v>
      </c>
      <c r="BW98" s="6">
        <f t="shared" si="57"/>
        <v>0.52395434317249412</v>
      </c>
      <c r="BX98" s="6">
        <f t="shared" si="57"/>
        <v>0.52395434317249412</v>
      </c>
      <c r="BY98" s="6">
        <f t="shared" si="57"/>
        <v>0.52395434317249412</v>
      </c>
      <c r="BZ98" s="6">
        <f t="shared" si="57"/>
        <v>0.52395434317249412</v>
      </c>
      <c r="CA98" s="6">
        <f t="shared" si="57"/>
        <v>0.52395434317249412</v>
      </c>
      <c r="CB98" s="6">
        <f t="shared" si="57"/>
        <v>0.52395434317249412</v>
      </c>
      <c r="CC98" s="6">
        <f t="shared" si="57"/>
        <v>0.52395434317249412</v>
      </c>
      <c r="CD98" s="6">
        <f t="shared" si="57"/>
        <v>0.52395434317249412</v>
      </c>
      <c r="CE98" s="6">
        <f t="shared" si="57"/>
        <v>0.52395434317249412</v>
      </c>
      <c r="CF98" s="6">
        <f t="shared" si="57"/>
        <v>0.52395434317249412</v>
      </c>
      <c r="CG98" s="6">
        <f t="shared" si="57"/>
        <v>0.52395434317249412</v>
      </c>
      <c r="CH98" s="6">
        <f t="shared" si="57"/>
        <v>0.52395434317249412</v>
      </c>
      <c r="CI98" s="6">
        <f t="shared" si="57"/>
        <v>0.52395434317249412</v>
      </c>
      <c r="CJ98" s="6">
        <f t="shared" si="57"/>
        <v>0.52395434317249412</v>
      </c>
      <c r="CK98" s="6">
        <f t="shared" si="55"/>
        <v>0.52395434317249412</v>
      </c>
      <c r="CL98" s="6">
        <f t="shared" si="50"/>
        <v>0.52395434317249412</v>
      </c>
      <c r="CM98" s="6">
        <f t="shared" si="50"/>
        <v>0.52395434317249412</v>
      </c>
      <c r="CN98" s="6">
        <f t="shared" si="50"/>
        <v>0.52395434317249412</v>
      </c>
      <c r="CO98" s="6">
        <f t="shared" si="50"/>
        <v>0.52395434317249412</v>
      </c>
      <c r="CP98" s="6">
        <f t="shared" si="50"/>
        <v>0.52395434317249412</v>
      </c>
      <c r="CQ98" s="6">
        <f t="shared" si="50"/>
        <v>0.52395434317249412</v>
      </c>
      <c r="CR98" s="6">
        <f t="shared" si="50"/>
        <v>0.52395434317249412</v>
      </c>
      <c r="CS98" s="6">
        <f t="shared" si="50"/>
        <v>0.52395434317249412</v>
      </c>
      <c r="CT98" s="6">
        <f t="shared" si="50"/>
        <v>0.52395434317249412</v>
      </c>
      <c r="CU98" s="6">
        <f t="shared" si="48"/>
        <v>0.52395434317249412</v>
      </c>
      <c r="CV98" s="6">
        <f t="shared" si="48"/>
        <v>0.52395434317249412</v>
      </c>
      <c r="CW98" s="6">
        <f t="shared" si="48"/>
        <v>0.52395434317249412</v>
      </c>
      <c r="CX98" s="6">
        <f t="shared" si="48"/>
        <v>0.52395434317249412</v>
      </c>
      <c r="CY98" s="6">
        <f t="shared" si="48"/>
        <v>0.52395434317249412</v>
      </c>
      <c r="CZ98" s="6">
        <f t="shared" si="48"/>
        <v>0.52395434317249412</v>
      </c>
      <c r="DB98" s="24"/>
      <c r="DC98" s="4">
        <v>0.02</v>
      </c>
      <c r="DD98" s="6">
        <f t="shared" si="45"/>
        <v>142.81369704825178</v>
      </c>
      <c r="DE98" s="6">
        <f t="shared" si="45"/>
        <v>74.783807710247601</v>
      </c>
      <c r="DF98" s="6">
        <f t="shared" si="45"/>
        <v>39.160235046684008</v>
      </c>
      <c r="DG98" s="6">
        <f t="shared" si="45"/>
        <v>20.506097570016834</v>
      </c>
      <c r="DH98" s="6">
        <f t="shared" si="45"/>
        <v>10.737935707023615</v>
      </c>
      <c r="DI98" s="6">
        <f t="shared" si="45"/>
        <v>5.6228793170739708</v>
      </c>
      <c r="DJ98" s="6">
        <f t="shared" si="45"/>
        <v>2.9444039645230475</v>
      </c>
      <c r="DK98" s="6">
        <f t="shared" ref="DK98:DS103" si="58">(DK99*$B$22-AU98)/($B$21-$B$22*CC99)</f>
        <v>1.5418369965987802</v>
      </c>
      <c r="DL98" s="6">
        <f t="shared" si="58"/>
        <v>0.80739939386731774</v>
      </c>
      <c r="DM98" s="6">
        <f t="shared" si="58"/>
        <v>0.42283486181169283</v>
      </c>
      <c r="DN98" s="6">
        <f t="shared" si="58"/>
        <v>0.22149876987446823</v>
      </c>
      <c r="DO98" s="6">
        <f t="shared" si="58"/>
        <v>0.11614547821617989</v>
      </c>
      <c r="DP98" s="6">
        <f t="shared" si="58"/>
        <v>6.1121893784902841E-2</v>
      </c>
      <c r="DQ98" s="6">
        <f t="shared" si="58"/>
        <v>3.258446332708366E-2</v>
      </c>
      <c r="DR98" s="6">
        <f t="shared" si="58"/>
        <v>1.8166966977667412E-2</v>
      </c>
      <c r="DS98" s="6">
        <f t="shared" si="58"/>
        <v>1.1621822985240379E-2</v>
      </c>
      <c r="DT98" s="6">
        <f t="shared" si="51"/>
        <v>1.0112802286417507E-2</v>
      </c>
      <c r="DU98" s="6">
        <f t="shared" si="49"/>
        <v>1.2985995911708887E-2</v>
      </c>
      <c r="DV98" s="6">
        <f t="shared" si="49"/>
        <v>2.1486454432074122E-2</v>
      </c>
      <c r="DW98" s="6">
        <f t="shared" si="49"/>
        <v>3.9297709873004814E-2</v>
      </c>
      <c r="DX98" s="6">
        <f t="shared" si="49"/>
        <v>7.4137972925570922E-2</v>
      </c>
      <c r="DY98" s="6">
        <f t="shared" si="49"/>
        <v>0.14110469091255112</v>
      </c>
      <c r="DZ98" s="6">
        <f t="shared" si="49"/>
        <v>0.26921677496163682</v>
      </c>
      <c r="EA98" s="6">
        <f t="shared" si="49"/>
        <v>0.51398946149409841</v>
      </c>
      <c r="EB98" s="6">
        <f t="shared" si="49"/>
        <v>0.98149091467400262</v>
      </c>
      <c r="EC98" s="6">
        <f t="shared" si="49"/>
        <v>1.8743050975459745</v>
      </c>
      <c r="ED98" s="6">
        <f t="shared" si="49"/>
        <v>3.579318156021202</v>
      </c>
      <c r="EE98" s="6">
        <f t="shared" si="49"/>
        <v>6.8353690821056192</v>
      </c>
      <c r="EF98" s="6">
        <f t="shared" si="49"/>
        <v>13.053413277102472</v>
      </c>
      <c r="EG98" s="6">
        <f t="shared" si="49"/>
        <v>24.927936558843729</v>
      </c>
      <c r="EH98" s="6">
        <f t="shared" si="49"/>
        <v>47.604565682750604</v>
      </c>
    </row>
    <row r="99" spans="5:138">
      <c r="E99" s="26"/>
      <c r="F99" s="4">
        <v>1.6666666666666666E-2</v>
      </c>
      <c r="G99" s="6">
        <f t="shared" si="40"/>
        <v>300</v>
      </c>
      <c r="H99" s="6">
        <f t="shared" si="53"/>
        <v>157.09377165338856</v>
      </c>
      <c r="I99" s="6">
        <f t="shared" si="53"/>
        <v>82.261511023245461</v>
      </c>
      <c r="J99" s="6">
        <f t="shared" si="53"/>
        <v>43.075905169842081</v>
      </c>
      <c r="K99" s="6">
        <f t="shared" si="53"/>
        <v>22.556524890036926</v>
      </c>
      <c r="L99" s="6">
        <f t="shared" si="53"/>
        <v>11.811638729247788</v>
      </c>
      <c r="M99" s="6">
        <f t="shared" si="53"/>
        <v>6.1851293511326908</v>
      </c>
      <c r="N99" s="6">
        <f t="shared" si="53"/>
        <v>3.2388426918417643</v>
      </c>
      <c r="O99" s="6">
        <f t="shared" si="53"/>
        <v>1.6960545323489362</v>
      </c>
      <c r="P99" s="6">
        <f t="shared" si="53"/>
        <v>0.88822333687397981</v>
      </c>
      <c r="Q99" s="6">
        <f t="shared" si="54"/>
        <v>0.46528892071108174</v>
      </c>
      <c r="R99" s="6">
        <f t="shared" si="54"/>
        <v>0.2439797035229857</v>
      </c>
      <c r="S99" s="6">
        <f t="shared" si="54"/>
        <v>0.12839502452818349</v>
      </c>
      <c r="T99" s="6">
        <f t="shared" si="54"/>
        <v>6.8448189495594045E-2</v>
      </c>
      <c r="U99" s="6">
        <f t="shared" si="54"/>
        <v>3.8162236577762063E-2</v>
      </c>
      <c r="V99" s="6">
        <f t="shared" si="54"/>
        <v>2.441325284362697E-2</v>
      </c>
      <c r="W99" s="6">
        <f t="shared" si="54"/>
        <v>2.1243345341730231E-2</v>
      </c>
      <c r="X99" s="6">
        <f t="shared" si="54"/>
        <v>2.7278887487916591E-2</v>
      </c>
      <c r="Y99" s="6">
        <f t="shared" si="54"/>
        <v>4.5135280878866813E-2</v>
      </c>
      <c r="Z99" s="6">
        <f t="shared" si="54"/>
        <v>8.2550295983992661E-2</v>
      </c>
      <c r="AA99" s="6">
        <f t="shared" si="54"/>
        <v>0.15573710601551533</v>
      </c>
      <c r="AB99" s="6">
        <f t="shared" si="54"/>
        <v>0.296409995320428</v>
      </c>
      <c r="AC99" s="6">
        <f t="shared" si="54"/>
        <v>0.56552721593085953</v>
      </c>
      <c r="AD99" s="6">
        <f t="shared" si="54"/>
        <v>1.07970623011133</v>
      </c>
      <c r="AE99" s="6">
        <f t="shared" si="54"/>
        <v>2.0617579440067102</v>
      </c>
      <c r="AF99" s="6">
        <f t="shared" si="54"/>
        <v>3.9372381003049979</v>
      </c>
      <c r="AG99" s="6">
        <f t="shared" si="54"/>
        <v>7.5188547667354513</v>
      </c>
      <c r="AH99" s="6">
        <f t="shared" si="54"/>
        <v>14.358641832084604</v>
      </c>
      <c r="AI99" s="6">
        <f t="shared" si="54"/>
        <v>27.420507024670421</v>
      </c>
      <c r="AJ99" s="6">
        <f t="shared" si="54"/>
        <v>52.364591927946748</v>
      </c>
      <c r="AK99" s="6">
        <f t="shared" si="42"/>
        <v>100</v>
      </c>
      <c r="AL99" s="24"/>
      <c r="AM99" s="4">
        <v>1.6666666666666666E-2</v>
      </c>
      <c r="AN99" s="6">
        <f t="shared" ref="AN99:AT104" si="59">-($B$12*$B$11)/$B$8*G64</f>
        <v>-538200000</v>
      </c>
      <c r="AO99" s="6">
        <f t="shared" si="59"/>
        <v>-281826226.34617907</v>
      </c>
      <c r="AP99" s="6">
        <f t="shared" si="59"/>
        <v>-147577150.77570233</v>
      </c>
      <c r="AQ99" s="6">
        <f t="shared" si="59"/>
        <v>-77278173.874696672</v>
      </c>
      <c r="AR99" s="6">
        <f t="shared" si="59"/>
        <v>-40466405.65272624</v>
      </c>
      <c r="AS99" s="6">
        <f t="shared" si="59"/>
        <v>-21190079.880270526</v>
      </c>
      <c r="AT99" s="6">
        <f t="shared" si="59"/>
        <v>-11096122.055932045</v>
      </c>
      <c r="AU99" s="6">
        <f t="shared" si="56"/>
        <v>-5810483.7891641241</v>
      </c>
      <c r="AV99" s="6">
        <f t="shared" si="56"/>
        <v>-3042721.8310339907</v>
      </c>
      <c r="AW99" s="6">
        <f t="shared" si="56"/>
        <v>-1593472.6663519195</v>
      </c>
      <c r="AX99" s="6">
        <f t="shared" si="56"/>
        <v>-834728.32375568047</v>
      </c>
      <c r="AY99" s="6">
        <f t="shared" si="56"/>
        <v>-437699.58812023624</v>
      </c>
      <c r="AZ99" s="6">
        <f t="shared" si="56"/>
        <v>-230340.67400356109</v>
      </c>
      <c r="BA99" s="6">
        <f t="shared" si="56"/>
        <v>-122796.0519550957</v>
      </c>
      <c r="BB99" s="6">
        <f t="shared" si="56"/>
        <v>-68463.052420505119</v>
      </c>
      <c r="BC99" s="6">
        <f t="shared" si="56"/>
        <v>-43797.375601466774</v>
      </c>
      <c r="BD99" s="6">
        <f t="shared" si="56"/>
        <v>-38110.561543064025</v>
      </c>
      <c r="BE99" s="6">
        <f t="shared" si="56"/>
        <v>-48938.324153322355</v>
      </c>
      <c r="BF99" s="6">
        <f t="shared" si="56"/>
        <v>-80972.693896687037</v>
      </c>
      <c r="BG99" s="6">
        <f t="shared" si="56"/>
        <v>-148095.23099528282</v>
      </c>
      <c r="BH99" s="6">
        <f t="shared" si="56"/>
        <v>-279392.36819183442</v>
      </c>
      <c r="BI99" s="6">
        <f t="shared" si="56"/>
        <v>-531759.53160484775</v>
      </c>
      <c r="BJ99" s="6">
        <f t="shared" si="56"/>
        <v>-1014555.8253799618</v>
      </c>
      <c r="BK99" s="6">
        <f t="shared" ref="BK99:BR104" si="60">-($B$12*$B$11)/$B$8*AD64</f>
        <v>-1936992.9768197257</v>
      </c>
      <c r="BL99" s="6">
        <f t="shared" si="60"/>
        <v>-3698793.7515480374</v>
      </c>
      <c r="BM99" s="6">
        <f t="shared" si="60"/>
        <v>-7063405.1519471649</v>
      </c>
      <c r="BN99" s="6">
        <f t="shared" si="60"/>
        <v>-13488825.451523397</v>
      </c>
      <c r="BO99" s="6">
        <f t="shared" si="60"/>
        <v>-25759403.446759775</v>
      </c>
      <c r="BP99" s="6">
        <f t="shared" si="60"/>
        <v>-49192389.60225872</v>
      </c>
      <c r="BQ99" s="6">
        <f t="shared" si="60"/>
        <v>-93942077.918736458</v>
      </c>
      <c r="BR99" s="6">
        <f t="shared" si="60"/>
        <v>-179400000</v>
      </c>
      <c r="BT99" s="24"/>
      <c r="BU99" s="4">
        <v>1.6666666666666666E-2</v>
      </c>
      <c r="BV99" s="6">
        <f t="shared" si="57"/>
        <v>0.52477009107620376</v>
      </c>
      <c r="BW99" s="6">
        <f t="shared" si="57"/>
        <v>0.52477009107620376</v>
      </c>
      <c r="BX99" s="6">
        <f t="shared" si="57"/>
        <v>0.52477009107620376</v>
      </c>
      <c r="BY99" s="6">
        <f t="shared" si="57"/>
        <v>0.52477009107620376</v>
      </c>
      <c r="BZ99" s="6">
        <f t="shared" si="57"/>
        <v>0.52477009107620376</v>
      </c>
      <c r="CA99" s="6">
        <f t="shared" si="57"/>
        <v>0.52477009107620376</v>
      </c>
      <c r="CB99" s="6">
        <f t="shared" si="57"/>
        <v>0.52477009107620376</v>
      </c>
      <c r="CC99" s="6">
        <f t="shared" si="57"/>
        <v>0.52477009107620376</v>
      </c>
      <c r="CD99" s="6">
        <f t="shared" si="57"/>
        <v>0.52477009107620376</v>
      </c>
      <c r="CE99" s="6">
        <f t="shared" si="57"/>
        <v>0.52477009107620376</v>
      </c>
      <c r="CF99" s="6">
        <f t="shared" si="57"/>
        <v>0.52477009107620376</v>
      </c>
      <c r="CG99" s="6">
        <f t="shared" si="57"/>
        <v>0.52477009107620376</v>
      </c>
      <c r="CH99" s="6">
        <f t="shared" si="57"/>
        <v>0.52477009107620376</v>
      </c>
      <c r="CI99" s="6">
        <f t="shared" si="57"/>
        <v>0.52477009107620376</v>
      </c>
      <c r="CJ99" s="6">
        <f t="shared" si="57"/>
        <v>0.52477009107620376</v>
      </c>
      <c r="CK99" s="6">
        <f t="shared" si="55"/>
        <v>0.52477009107620376</v>
      </c>
      <c r="CL99" s="6">
        <f t="shared" si="50"/>
        <v>0.52477009107620376</v>
      </c>
      <c r="CM99" s="6">
        <f t="shared" si="50"/>
        <v>0.52477009107620376</v>
      </c>
      <c r="CN99" s="6">
        <f t="shared" si="50"/>
        <v>0.52477009107620376</v>
      </c>
      <c r="CO99" s="6">
        <f t="shared" si="50"/>
        <v>0.52477009107620376</v>
      </c>
      <c r="CP99" s="6">
        <f t="shared" si="50"/>
        <v>0.52477009107620376</v>
      </c>
      <c r="CQ99" s="6">
        <f t="shared" si="50"/>
        <v>0.52477009107620376</v>
      </c>
      <c r="CR99" s="6">
        <f t="shared" si="50"/>
        <v>0.52477009107620376</v>
      </c>
      <c r="CS99" s="6">
        <f t="shared" si="50"/>
        <v>0.52477009107620376</v>
      </c>
      <c r="CT99" s="6">
        <f t="shared" si="50"/>
        <v>0.52477009107620376</v>
      </c>
      <c r="CU99" s="6">
        <f t="shared" si="48"/>
        <v>0.52477009107620376</v>
      </c>
      <c r="CV99" s="6">
        <f t="shared" si="48"/>
        <v>0.52477009107620376</v>
      </c>
      <c r="CW99" s="6">
        <f t="shared" si="48"/>
        <v>0.52477009107620376</v>
      </c>
      <c r="CX99" s="6">
        <f t="shared" si="48"/>
        <v>0.52477009107620376</v>
      </c>
      <c r="CY99" s="6">
        <f t="shared" si="48"/>
        <v>0.52477009107620376</v>
      </c>
      <c r="CZ99" s="6">
        <f t="shared" si="48"/>
        <v>0.52477009107620376</v>
      </c>
      <c r="DB99" s="24"/>
      <c r="DC99" s="4">
        <v>1.6666666666666666E-2</v>
      </c>
      <c r="DD99" s="6">
        <f t="shared" ref="DD99:DJ103" si="61">(DD100*$B$22-AN99)/($B$21-$B$22*BV100)</f>
        <v>142.56897267713887</v>
      </c>
      <c r="DE99" s="6">
        <f t="shared" si="61"/>
        <v>74.655658795335484</v>
      </c>
      <c r="DF99" s="6">
        <f t="shared" si="61"/>
        <v>39.093130391510797</v>
      </c>
      <c r="DG99" s="6">
        <f t="shared" si="61"/>
        <v>20.470958490674136</v>
      </c>
      <c r="DH99" s="6">
        <f t="shared" si="61"/>
        <v>10.71953526912959</v>
      </c>
      <c r="DI99" s="6">
        <f t="shared" si="61"/>
        <v>5.6132439975412103</v>
      </c>
      <c r="DJ99" s="6">
        <f t="shared" si="61"/>
        <v>2.9393584582206875</v>
      </c>
      <c r="DK99" s="6">
        <f t="shared" si="58"/>
        <v>1.5391949174624648</v>
      </c>
      <c r="DL99" s="6">
        <f t="shared" si="58"/>
        <v>0.80601584093797674</v>
      </c>
      <c r="DM99" s="6">
        <f t="shared" si="58"/>
        <v>0.42211029548661183</v>
      </c>
      <c r="DN99" s="6">
        <f t="shared" si="58"/>
        <v>0.22111921141277882</v>
      </c>
      <c r="DO99" s="6">
        <f t="shared" si="58"/>
        <v>0.11594645228448329</v>
      </c>
      <c r="DP99" s="6">
        <f t="shared" si="58"/>
        <v>6.1017155812797215E-2</v>
      </c>
      <c r="DQ99" s="6">
        <f t="shared" si="58"/>
        <v>3.2528626859989904E-2</v>
      </c>
      <c r="DR99" s="6">
        <f t="shared" si="58"/>
        <v>1.8135836213178227E-2</v>
      </c>
      <c r="DS99" s="6">
        <f t="shared" si="58"/>
        <v>1.1601907925410456E-2</v>
      </c>
      <c r="DT99" s="6">
        <f t="shared" si="51"/>
        <v>1.0095473071987209E-2</v>
      </c>
      <c r="DU99" s="6">
        <f t="shared" si="49"/>
        <v>1.2963743216425086E-2</v>
      </c>
      <c r="DV99" s="6">
        <f t="shared" si="49"/>
        <v>2.1449635421313833E-2</v>
      </c>
      <c r="DW99" s="6">
        <f t="shared" si="49"/>
        <v>3.9230369642105259E-2</v>
      </c>
      <c r="DX99" s="6">
        <f t="shared" si="49"/>
        <v>7.4010930707808939E-2</v>
      </c>
      <c r="DY99" s="6">
        <f t="shared" si="49"/>
        <v>0.14086289508022989</v>
      </c>
      <c r="DZ99" s="6">
        <f t="shared" si="49"/>
        <v>0.26875544732075041</v>
      </c>
      <c r="EA99" s="6">
        <f t="shared" si="49"/>
        <v>0.51310869340026277</v>
      </c>
      <c r="EB99" s="6">
        <f t="shared" si="49"/>
        <v>0.97980903995322222</v>
      </c>
      <c r="EC99" s="6">
        <f t="shared" si="49"/>
        <v>1.8710933038192445</v>
      </c>
      <c r="ED99" s="6">
        <f t="shared" si="49"/>
        <v>3.5731846660069397</v>
      </c>
      <c r="EE99" s="6">
        <f t="shared" si="49"/>
        <v>6.8236560501309773</v>
      </c>
      <c r="EF99" s="6">
        <f t="shared" si="49"/>
        <v>13.031045055978439</v>
      </c>
      <c r="EG99" s="6">
        <f t="shared" si="49"/>
        <v>24.885220252749889</v>
      </c>
      <c r="EH99" s="6">
        <f t="shared" si="49"/>
        <v>47.522990892379639</v>
      </c>
    </row>
    <row r="100" spans="5:138">
      <c r="E100" s="26"/>
      <c r="F100" s="4">
        <v>1.3333333333333334E-2</v>
      </c>
      <c r="G100" s="6">
        <f t="shared" si="40"/>
        <v>300</v>
      </c>
      <c r="H100" s="6">
        <f t="shared" si="53"/>
        <v>157.09377165338856</v>
      </c>
      <c r="I100" s="6">
        <f t="shared" si="53"/>
        <v>82.261511023245447</v>
      </c>
      <c r="J100" s="6">
        <f t="shared" si="53"/>
        <v>43.075905169842081</v>
      </c>
      <c r="K100" s="6">
        <f t="shared" si="53"/>
        <v>22.556524890036926</v>
      </c>
      <c r="L100" s="6">
        <f t="shared" si="53"/>
        <v>11.811638729247786</v>
      </c>
      <c r="M100" s="6">
        <f t="shared" si="53"/>
        <v>6.1851293511326899</v>
      </c>
      <c r="N100" s="6">
        <f t="shared" si="53"/>
        <v>3.2388426918417643</v>
      </c>
      <c r="O100" s="6">
        <f t="shared" si="53"/>
        <v>1.6960545323489362</v>
      </c>
      <c r="P100" s="6">
        <f t="shared" si="53"/>
        <v>0.88822333687397981</v>
      </c>
      <c r="Q100" s="6">
        <f t="shared" si="54"/>
        <v>0.46528892071108174</v>
      </c>
      <c r="R100" s="6">
        <f t="shared" si="54"/>
        <v>0.2439797035229857</v>
      </c>
      <c r="S100" s="6">
        <f t="shared" si="54"/>
        <v>0.12839502452818347</v>
      </c>
      <c r="T100" s="6">
        <f t="shared" si="54"/>
        <v>6.8448189495594031E-2</v>
      </c>
      <c r="U100" s="6">
        <f t="shared" si="54"/>
        <v>3.8162236577762063E-2</v>
      </c>
      <c r="V100" s="6">
        <f t="shared" si="54"/>
        <v>2.441325284362697E-2</v>
      </c>
      <c r="W100" s="6">
        <f t="shared" si="54"/>
        <v>2.1243345341730228E-2</v>
      </c>
      <c r="X100" s="6">
        <f t="shared" si="54"/>
        <v>2.7278887487916591E-2</v>
      </c>
      <c r="Y100" s="6">
        <f t="shared" si="54"/>
        <v>4.5135280878866806E-2</v>
      </c>
      <c r="Z100" s="6">
        <f t="shared" si="54"/>
        <v>8.2550295983992661E-2</v>
      </c>
      <c r="AA100" s="6">
        <f t="shared" si="54"/>
        <v>0.1557371060155153</v>
      </c>
      <c r="AB100" s="6">
        <f t="shared" si="54"/>
        <v>0.296409995320428</v>
      </c>
      <c r="AC100" s="6">
        <f t="shared" si="54"/>
        <v>0.56552721593085953</v>
      </c>
      <c r="AD100" s="6">
        <f t="shared" si="54"/>
        <v>1.07970623011133</v>
      </c>
      <c r="AE100" s="6">
        <f t="shared" si="54"/>
        <v>2.0617579440067102</v>
      </c>
      <c r="AF100" s="6">
        <f t="shared" si="54"/>
        <v>3.9372381003049979</v>
      </c>
      <c r="AG100" s="6">
        <f t="shared" si="54"/>
        <v>7.5188547667354513</v>
      </c>
      <c r="AH100" s="6">
        <f t="shared" si="54"/>
        <v>14.358641832084604</v>
      </c>
      <c r="AI100" s="6">
        <f t="shared" si="54"/>
        <v>27.420507024670414</v>
      </c>
      <c r="AJ100" s="6">
        <f t="shared" si="54"/>
        <v>52.364591927946748</v>
      </c>
      <c r="AK100" s="6">
        <f t="shared" si="42"/>
        <v>100</v>
      </c>
      <c r="AL100" s="24"/>
      <c r="AM100" s="4">
        <v>1.3333333333333334E-2</v>
      </c>
      <c r="AN100" s="6">
        <f t="shared" si="59"/>
        <v>-538200000</v>
      </c>
      <c r="AO100" s="6">
        <f t="shared" si="59"/>
        <v>-281826226.34617907</v>
      </c>
      <c r="AP100" s="6">
        <f t="shared" si="59"/>
        <v>-147577150.77570233</v>
      </c>
      <c r="AQ100" s="6">
        <f t="shared" si="59"/>
        <v>-77278173.874696672</v>
      </c>
      <c r="AR100" s="6">
        <f t="shared" si="59"/>
        <v>-40466405.65272624</v>
      </c>
      <c r="AS100" s="6">
        <f t="shared" si="59"/>
        <v>-21190079.880270526</v>
      </c>
      <c r="AT100" s="6">
        <f t="shared" si="59"/>
        <v>-11096122.055932045</v>
      </c>
      <c r="AU100" s="6">
        <f t="shared" si="56"/>
        <v>-5810483.7891641241</v>
      </c>
      <c r="AV100" s="6">
        <f t="shared" si="56"/>
        <v>-3042721.8310339907</v>
      </c>
      <c r="AW100" s="6">
        <f t="shared" si="56"/>
        <v>-1593472.6663519195</v>
      </c>
      <c r="AX100" s="6">
        <f t="shared" si="56"/>
        <v>-834728.32375568047</v>
      </c>
      <c r="AY100" s="6">
        <f t="shared" si="56"/>
        <v>-437699.58812023624</v>
      </c>
      <c r="AZ100" s="6">
        <f t="shared" si="56"/>
        <v>-230340.67400356109</v>
      </c>
      <c r="BA100" s="6">
        <f t="shared" si="56"/>
        <v>-122796.0519550957</v>
      </c>
      <c r="BB100" s="6">
        <f t="shared" si="56"/>
        <v>-68463.052420505119</v>
      </c>
      <c r="BC100" s="6">
        <f t="shared" si="56"/>
        <v>-43797.375601466774</v>
      </c>
      <c r="BD100" s="6">
        <f t="shared" si="56"/>
        <v>-38110.561543064025</v>
      </c>
      <c r="BE100" s="6">
        <f t="shared" si="56"/>
        <v>-48938.324153322355</v>
      </c>
      <c r="BF100" s="6">
        <f t="shared" si="56"/>
        <v>-80972.693896687037</v>
      </c>
      <c r="BG100" s="6">
        <f t="shared" si="56"/>
        <v>-148095.23099528282</v>
      </c>
      <c r="BH100" s="6">
        <f t="shared" si="56"/>
        <v>-279392.36819183442</v>
      </c>
      <c r="BI100" s="6">
        <f t="shared" si="56"/>
        <v>-531759.53160484775</v>
      </c>
      <c r="BJ100" s="6">
        <f t="shared" si="56"/>
        <v>-1014555.8253799618</v>
      </c>
      <c r="BK100" s="6">
        <f t="shared" si="60"/>
        <v>-1936992.9768197257</v>
      </c>
      <c r="BL100" s="6">
        <f t="shared" si="60"/>
        <v>-3698793.7515480374</v>
      </c>
      <c r="BM100" s="6">
        <f t="shared" si="60"/>
        <v>-7063405.1519471649</v>
      </c>
      <c r="BN100" s="6">
        <f t="shared" si="60"/>
        <v>-13488825.451523397</v>
      </c>
      <c r="BO100" s="6">
        <f t="shared" si="60"/>
        <v>-25759403.446759775</v>
      </c>
      <c r="BP100" s="6">
        <f t="shared" si="60"/>
        <v>-49192389.60225872</v>
      </c>
      <c r="BQ100" s="6">
        <f t="shared" si="60"/>
        <v>-93942077.918736458</v>
      </c>
      <c r="BR100" s="6">
        <f t="shared" si="60"/>
        <v>-179400000</v>
      </c>
      <c r="BT100" s="24"/>
      <c r="BU100" s="4">
        <v>1.3333333333333334E-2</v>
      </c>
      <c r="BV100" s="6">
        <f t="shared" si="57"/>
        <v>0.52773692643981163</v>
      </c>
      <c r="BW100" s="6">
        <f t="shared" si="57"/>
        <v>0.52773692643981163</v>
      </c>
      <c r="BX100" s="6">
        <f t="shared" si="57"/>
        <v>0.52773692643981163</v>
      </c>
      <c r="BY100" s="6">
        <f t="shared" si="57"/>
        <v>0.52773692643981163</v>
      </c>
      <c r="BZ100" s="6">
        <f t="shared" si="57"/>
        <v>0.52773692643981163</v>
      </c>
      <c r="CA100" s="6">
        <f t="shared" si="57"/>
        <v>0.52773692643981163</v>
      </c>
      <c r="CB100" s="6">
        <f t="shared" si="57"/>
        <v>0.52773692643981163</v>
      </c>
      <c r="CC100" s="6">
        <f t="shared" si="57"/>
        <v>0.52773692643981163</v>
      </c>
      <c r="CD100" s="6">
        <f t="shared" si="57"/>
        <v>0.52773692643981163</v>
      </c>
      <c r="CE100" s="6">
        <f t="shared" si="57"/>
        <v>0.52773692643981163</v>
      </c>
      <c r="CF100" s="6">
        <f t="shared" si="57"/>
        <v>0.52773692643981163</v>
      </c>
      <c r="CG100" s="6">
        <f t="shared" si="57"/>
        <v>0.52773692643981163</v>
      </c>
      <c r="CH100" s="6">
        <f t="shared" si="57"/>
        <v>0.52773692643981163</v>
      </c>
      <c r="CI100" s="6">
        <f t="shared" si="57"/>
        <v>0.52773692643981163</v>
      </c>
      <c r="CJ100" s="6">
        <f t="shared" si="57"/>
        <v>0.52773692643981163</v>
      </c>
      <c r="CK100" s="6">
        <f t="shared" si="55"/>
        <v>0.52773692643981163</v>
      </c>
      <c r="CL100" s="6">
        <f t="shared" si="50"/>
        <v>0.52773692643981163</v>
      </c>
      <c r="CM100" s="6">
        <f t="shared" si="50"/>
        <v>0.52773692643981163</v>
      </c>
      <c r="CN100" s="6">
        <f t="shared" si="50"/>
        <v>0.52773692643981163</v>
      </c>
      <c r="CO100" s="6">
        <f t="shared" si="50"/>
        <v>0.52773692643981163</v>
      </c>
      <c r="CP100" s="6">
        <f t="shared" si="50"/>
        <v>0.52773692643981163</v>
      </c>
      <c r="CQ100" s="6">
        <f t="shared" si="50"/>
        <v>0.52773692643981163</v>
      </c>
      <c r="CR100" s="6">
        <f t="shared" si="50"/>
        <v>0.52773692643981163</v>
      </c>
      <c r="CS100" s="6">
        <f t="shared" si="50"/>
        <v>0.52773692643981163</v>
      </c>
      <c r="CT100" s="6">
        <f t="shared" si="50"/>
        <v>0.52773692643981163</v>
      </c>
      <c r="CU100" s="6">
        <f t="shared" si="48"/>
        <v>0.52773692643981163</v>
      </c>
      <c r="CV100" s="6">
        <f t="shared" si="48"/>
        <v>0.52773692643981163</v>
      </c>
      <c r="CW100" s="6">
        <f t="shared" si="48"/>
        <v>0.52773692643981163</v>
      </c>
      <c r="CX100" s="6">
        <f t="shared" si="48"/>
        <v>0.52773692643981163</v>
      </c>
      <c r="CY100" s="6">
        <f t="shared" si="48"/>
        <v>0.52773692643981163</v>
      </c>
      <c r="CZ100" s="6">
        <f t="shared" si="48"/>
        <v>0.52773692643981163</v>
      </c>
      <c r="DB100" s="24"/>
      <c r="DC100" s="4">
        <v>1.3333333333333334E-2</v>
      </c>
      <c r="DD100" s="6">
        <f t="shared" si="61"/>
        <v>141.67892206805649</v>
      </c>
      <c r="DE100" s="6">
        <f t="shared" si="61"/>
        <v>74.189587438191666</v>
      </c>
      <c r="DF100" s="6">
        <f t="shared" si="61"/>
        <v>38.849074031543211</v>
      </c>
      <c r="DG100" s="6">
        <f t="shared" si="61"/>
        <v>20.343159371896828</v>
      </c>
      <c r="DH100" s="6">
        <f t="shared" si="61"/>
        <v>10.652613773405728</v>
      </c>
      <c r="DI100" s="6">
        <f t="shared" si="61"/>
        <v>5.5782008100571163</v>
      </c>
      <c r="DJ100" s="6">
        <f t="shared" si="61"/>
        <v>2.9210081977332574</v>
      </c>
      <c r="DK100" s="6">
        <f t="shared" si="58"/>
        <v>1.5295858044271455</v>
      </c>
      <c r="DL100" s="6">
        <f t="shared" si="58"/>
        <v>0.80098392637279647</v>
      </c>
      <c r="DM100" s="6">
        <f t="shared" si="58"/>
        <v>0.41947508307999226</v>
      </c>
      <c r="DN100" s="6">
        <f t="shared" si="58"/>
        <v>0.21973877578851822</v>
      </c>
      <c r="DO100" s="6">
        <f t="shared" si="58"/>
        <v>0.11522260467206873</v>
      </c>
      <c r="DP100" s="6">
        <f t="shared" si="58"/>
        <v>6.0636228913515687E-2</v>
      </c>
      <c r="DQ100" s="6">
        <f t="shared" si="58"/>
        <v>3.2325552350819436E-2</v>
      </c>
      <c r="DR100" s="6">
        <f t="shared" si="58"/>
        <v>1.8022615140144953E-2</v>
      </c>
      <c r="DS100" s="6">
        <f t="shared" si="58"/>
        <v>1.1529477823533281E-2</v>
      </c>
      <c r="DT100" s="6">
        <f t="shared" si="51"/>
        <v>1.0032447563786026E-2</v>
      </c>
      <c r="DU100" s="6">
        <f t="shared" si="49"/>
        <v>1.2882811248346053E-2</v>
      </c>
      <c r="DV100" s="6">
        <f t="shared" si="49"/>
        <v>2.1315726473856034E-2</v>
      </c>
      <c r="DW100" s="6">
        <f t="shared" si="49"/>
        <v>3.8985456504703649E-2</v>
      </c>
      <c r="DX100" s="6">
        <f t="shared" ref="DX100:EH103" si="62">(DX101*$B$22-BH100)/($B$21-$B$22*CP101)</f>
        <v>7.3548884354256147E-2</v>
      </c>
      <c r="DY100" s="6">
        <f t="shared" si="62"/>
        <v>0.13998349542398636</v>
      </c>
      <c r="DZ100" s="6">
        <f t="shared" si="62"/>
        <v>0.26707762117744399</v>
      </c>
      <c r="EA100" s="6">
        <f t="shared" si="62"/>
        <v>0.50990538277446074</v>
      </c>
      <c r="EB100" s="6">
        <f t="shared" si="62"/>
        <v>0.97369214357374356</v>
      </c>
      <c r="EC100" s="6">
        <f t="shared" si="62"/>
        <v>1.8594121665883154</v>
      </c>
      <c r="ED100" s="6">
        <f t="shared" si="62"/>
        <v>3.5508774617911572</v>
      </c>
      <c r="EE100" s="6">
        <f t="shared" si="62"/>
        <v>6.7810563237701684</v>
      </c>
      <c r="EF100" s="6">
        <f t="shared" si="62"/>
        <v>12.949692926049584</v>
      </c>
      <c r="EG100" s="6">
        <f t="shared" si="62"/>
        <v>24.729863129617161</v>
      </c>
      <c r="EH100" s="6">
        <f t="shared" si="62"/>
        <v>47.226307356018836</v>
      </c>
    </row>
    <row r="101" spans="5:138">
      <c r="E101" s="26"/>
      <c r="F101" s="4">
        <v>0.01</v>
      </c>
      <c r="G101" s="6">
        <f t="shared" si="40"/>
        <v>300</v>
      </c>
      <c r="H101" s="6">
        <f t="shared" si="53"/>
        <v>157.09377165338856</v>
      </c>
      <c r="I101" s="6">
        <f t="shared" si="53"/>
        <v>82.261511023245447</v>
      </c>
      <c r="J101" s="6">
        <f t="shared" si="53"/>
        <v>43.075905169842073</v>
      </c>
      <c r="K101" s="6">
        <f t="shared" si="53"/>
        <v>22.556524890036926</v>
      </c>
      <c r="L101" s="6">
        <f t="shared" si="53"/>
        <v>11.811638729247786</v>
      </c>
      <c r="M101" s="6">
        <f t="shared" si="53"/>
        <v>6.185129351132689</v>
      </c>
      <c r="N101" s="6">
        <f t="shared" si="53"/>
        <v>3.2388426918417643</v>
      </c>
      <c r="O101" s="6">
        <f t="shared" si="53"/>
        <v>1.696054532348936</v>
      </c>
      <c r="P101" s="6">
        <f t="shared" si="53"/>
        <v>0.88822333687397981</v>
      </c>
      <c r="Q101" s="6">
        <f t="shared" si="54"/>
        <v>0.46528892071108174</v>
      </c>
      <c r="R101" s="6">
        <f t="shared" si="54"/>
        <v>0.24397970352298565</v>
      </c>
      <c r="S101" s="6">
        <f t="shared" si="54"/>
        <v>0.12839502452818347</v>
      </c>
      <c r="T101" s="6">
        <f t="shared" si="54"/>
        <v>6.8448189495594031E-2</v>
      </c>
      <c r="U101" s="6">
        <f t="shared" si="54"/>
        <v>3.8162236577762063E-2</v>
      </c>
      <c r="V101" s="6">
        <f t="shared" si="54"/>
        <v>2.441325284362697E-2</v>
      </c>
      <c r="W101" s="6">
        <f t="shared" si="54"/>
        <v>2.1243345341730228E-2</v>
      </c>
      <c r="X101" s="6">
        <f t="shared" si="54"/>
        <v>2.7278887487916587E-2</v>
      </c>
      <c r="Y101" s="6">
        <f t="shared" si="54"/>
        <v>4.5135280878866799E-2</v>
      </c>
      <c r="Z101" s="6">
        <f t="shared" si="54"/>
        <v>8.2550295983992661E-2</v>
      </c>
      <c r="AA101" s="6">
        <f t="shared" si="54"/>
        <v>0.15573710601551527</v>
      </c>
      <c r="AB101" s="6">
        <f t="shared" si="54"/>
        <v>0.296409995320428</v>
      </c>
      <c r="AC101" s="6">
        <f t="shared" si="54"/>
        <v>0.56552721593085953</v>
      </c>
      <c r="AD101" s="6">
        <f t="shared" si="54"/>
        <v>1.07970623011133</v>
      </c>
      <c r="AE101" s="6">
        <f t="shared" si="54"/>
        <v>2.0617579440067102</v>
      </c>
      <c r="AF101" s="6">
        <f t="shared" si="54"/>
        <v>3.9372381003049974</v>
      </c>
      <c r="AG101" s="6">
        <f t="shared" si="54"/>
        <v>7.5188547667354513</v>
      </c>
      <c r="AH101" s="6">
        <f t="shared" si="54"/>
        <v>14.358641832084604</v>
      </c>
      <c r="AI101" s="6">
        <f t="shared" si="54"/>
        <v>27.420507024670414</v>
      </c>
      <c r="AJ101" s="6">
        <f t="shared" si="54"/>
        <v>52.364591927946748</v>
      </c>
      <c r="AK101" s="6">
        <f t="shared" si="42"/>
        <v>100</v>
      </c>
      <c r="AL101" s="24"/>
      <c r="AM101" s="4">
        <v>0.01</v>
      </c>
      <c r="AN101" s="6">
        <f t="shared" si="59"/>
        <v>-538200000</v>
      </c>
      <c r="AO101" s="6">
        <f t="shared" si="59"/>
        <v>-281826226.34617907</v>
      </c>
      <c r="AP101" s="6">
        <f t="shared" si="59"/>
        <v>-147577150.77570233</v>
      </c>
      <c r="AQ101" s="6">
        <f t="shared" si="59"/>
        <v>-77278173.874696672</v>
      </c>
      <c r="AR101" s="6">
        <f t="shared" si="59"/>
        <v>-40466405.65272624</v>
      </c>
      <c r="AS101" s="6">
        <f t="shared" si="59"/>
        <v>-21190079.880270526</v>
      </c>
      <c r="AT101" s="6">
        <f t="shared" si="59"/>
        <v>-11096122.055932045</v>
      </c>
      <c r="AU101" s="6">
        <f t="shared" si="56"/>
        <v>-5810483.7891641241</v>
      </c>
      <c r="AV101" s="6">
        <f t="shared" si="56"/>
        <v>-3042721.8310339907</v>
      </c>
      <c r="AW101" s="6">
        <f t="shared" si="56"/>
        <v>-1593472.6663519195</v>
      </c>
      <c r="AX101" s="6">
        <f t="shared" si="56"/>
        <v>-834728.32375568047</v>
      </c>
      <c r="AY101" s="6">
        <f t="shared" si="56"/>
        <v>-437699.58812023624</v>
      </c>
      <c r="AZ101" s="6">
        <f t="shared" si="56"/>
        <v>-230340.67400356109</v>
      </c>
      <c r="BA101" s="6">
        <f t="shared" si="56"/>
        <v>-122796.0519550957</v>
      </c>
      <c r="BB101" s="6">
        <f t="shared" si="56"/>
        <v>-68463.052420505119</v>
      </c>
      <c r="BC101" s="6">
        <f t="shared" si="56"/>
        <v>-43797.375601466774</v>
      </c>
      <c r="BD101" s="6">
        <f t="shared" si="56"/>
        <v>-38110.561543064025</v>
      </c>
      <c r="BE101" s="6">
        <f t="shared" si="56"/>
        <v>-48938.324153322355</v>
      </c>
      <c r="BF101" s="6">
        <f t="shared" si="56"/>
        <v>-80972.693896687037</v>
      </c>
      <c r="BG101" s="6">
        <f t="shared" si="56"/>
        <v>-148095.23099528282</v>
      </c>
      <c r="BH101" s="6">
        <f t="shared" si="56"/>
        <v>-279392.36819183442</v>
      </c>
      <c r="BI101" s="6">
        <f t="shared" si="56"/>
        <v>-531759.53160484775</v>
      </c>
      <c r="BJ101" s="6">
        <f t="shared" si="56"/>
        <v>-1014555.8253799618</v>
      </c>
      <c r="BK101" s="6">
        <f t="shared" si="60"/>
        <v>-1936992.9768197257</v>
      </c>
      <c r="BL101" s="6">
        <f t="shared" si="60"/>
        <v>-3698793.7515480374</v>
      </c>
      <c r="BM101" s="6">
        <f t="shared" si="60"/>
        <v>-7063405.1519471649</v>
      </c>
      <c r="BN101" s="6">
        <f t="shared" si="60"/>
        <v>-13488825.451523397</v>
      </c>
      <c r="BO101" s="6">
        <f t="shared" si="60"/>
        <v>-25759403.446759775</v>
      </c>
      <c r="BP101" s="6">
        <f t="shared" si="60"/>
        <v>-49192389.60225872</v>
      </c>
      <c r="BQ101" s="6">
        <f t="shared" si="60"/>
        <v>-93942077.918736458</v>
      </c>
      <c r="BR101" s="6">
        <f t="shared" si="60"/>
        <v>-179400000</v>
      </c>
      <c r="BT101" s="24"/>
      <c r="BU101" s="4">
        <v>0.01</v>
      </c>
      <c r="BV101" s="6">
        <f t="shared" si="57"/>
        <v>0.53844982244061979</v>
      </c>
      <c r="BW101" s="6">
        <f t="shared" si="57"/>
        <v>0.53844982244061979</v>
      </c>
      <c r="BX101" s="6">
        <f t="shared" si="57"/>
        <v>0.53844982244061979</v>
      </c>
      <c r="BY101" s="6">
        <f t="shared" si="57"/>
        <v>0.53844982244061979</v>
      </c>
      <c r="BZ101" s="6">
        <f t="shared" si="57"/>
        <v>0.53844982244061979</v>
      </c>
      <c r="CA101" s="6">
        <f t="shared" si="57"/>
        <v>0.53844982244061979</v>
      </c>
      <c r="CB101" s="6">
        <f t="shared" si="57"/>
        <v>0.53844982244061979</v>
      </c>
      <c r="CC101" s="6">
        <f t="shared" si="57"/>
        <v>0.53844982244061979</v>
      </c>
      <c r="CD101" s="6">
        <f t="shared" si="57"/>
        <v>0.53844982244061979</v>
      </c>
      <c r="CE101" s="6">
        <f t="shared" si="57"/>
        <v>0.53844982244061979</v>
      </c>
      <c r="CF101" s="6">
        <f t="shared" si="57"/>
        <v>0.53844982244061979</v>
      </c>
      <c r="CG101" s="6">
        <f t="shared" si="57"/>
        <v>0.53844982244061979</v>
      </c>
      <c r="CH101" s="6">
        <f t="shared" si="57"/>
        <v>0.53844982244061979</v>
      </c>
      <c r="CI101" s="6">
        <f t="shared" si="57"/>
        <v>0.53844982244061979</v>
      </c>
      <c r="CJ101" s="6">
        <f t="shared" si="57"/>
        <v>0.53844982244061979</v>
      </c>
      <c r="CK101" s="6">
        <f t="shared" si="55"/>
        <v>0.53844982244061979</v>
      </c>
      <c r="CL101" s="6">
        <f t="shared" si="50"/>
        <v>0.53844982244061979</v>
      </c>
      <c r="CM101" s="6">
        <f t="shared" si="50"/>
        <v>0.53844982244061979</v>
      </c>
      <c r="CN101" s="6">
        <f t="shared" si="50"/>
        <v>0.53844982244061979</v>
      </c>
      <c r="CO101" s="6">
        <f t="shared" si="50"/>
        <v>0.53844982244061979</v>
      </c>
      <c r="CP101" s="6">
        <f t="shared" si="50"/>
        <v>0.53844982244061979</v>
      </c>
      <c r="CQ101" s="6">
        <f t="shared" si="50"/>
        <v>0.53844982244061979</v>
      </c>
      <c r="CR101" s="6">
        <f t="shared" si="50"/>
        <v>0.53844982244061979</v>
      </c>
      <c r="CS101" s="6">
        <f t="shared" si="50"/>
        <v>0.53844982244061979</v>
      </c>
      <c r="CT101" s="6">
        <f t="shared" si="50"/>
        <v>0.53844982244061979</v>
      </c>
      <c r="CU101" s="6">
        <f t="shared" si="48"/>
        <v>0.53844982244061979</v>
      </c>
      <c r="CV101" s="6">
        <f t="shared" si="48"/>
        <v>0.53844982244061979</v>
      </c>
      <c r="CW101" s="6">
        <f t="shared" si="48"/>
        <v>0.53844982244061979</v>
      </c>
      <c r="CX101" s="6">
        <f t="shared" si="48"/>
        <v>0.53844982244061979</v>
      </c>
      <c r="CY101" s="6">
        <f t="shared" si="48"/>
        <v>0.53844982244061979</v>
      </c>
      <c r="CZ101" s="6">
        <f t="shared" si="48"/>
        <v>0.53844982244061979</v>
      </c>
      <c r="DB101" s="24"/>
      <c r="DC101" s="4">
        <v>0.01</v>
      </c>
      <c r="DD101" s="6">
        <f t="shared" si="61"/>
        <v>138.46505326781406</v>
      </c>
      <c r="DE101" s="6">
        <f t="shared" si="61"/>
        <v>72.506658200094222</v>
      </c>
      <c r="DF101" s="6">
        <f t="shared" si="61"/>
        <v>37.967815019081847</v>
      </c>
      <c r="DG101" s="6">
        <f t="shared" si="61"/>
        <v>19.881691679671633</v>
      </c>
      <c r="DH101" s="6">
        <f t="shared" si="61"/>
        <v>10.410968068119121</v>
      </c>
      <c r="DI101" s="6">
        <f t="shared" si="61"/>
        <v>5.4516639527515665</v>
      </c>
      <c r="DJ101" s="6">
        <f t="shared" si="61"/>
        <v>2.8547475502430264</v>
      </c>
      <c r="DK101" s="6">
        <f t="shared" si="58"/>
        <v>1.4948884195064671</v>
      </c>
      <c r="DL101" s="6">
        <f t="shared" si="58"/>
        <v>0.78281427055604291</v>
      </c>
      <c r="DM101" s="6">
        <f t="shared" si="58"/>
        <v>0.40995963884657055</v>
      </c>
      <c r="DN101" s="6">
        <f t="shared" si="58"/>
        <v>0.21475418397061211</v>
      </c>
      <c r="DO101" s="6">
        <f t="shared" si="58"/>
        <v>0.11260887548191896</v>
      </c>
      <c r="DP101" s="6">
        <f t="shared" si="58"/>
        <v>5.9260746368724047E-2</v>
      </c>
      <c r="DQ101" s="6">
        <f t="shared" si="58"/>
        <v>3.1592274015309528E-2</v>
      </c>
      <c r="DR101" s="6">
        <f t="shared" si="58"/>
        <v>1.761378706852915E-2</v>
      </c>
      <c r="DS101" s="6">
        <f t="shared" si="58"/>
        <v>1.1267941184778071E-2</v>
      </c>
      <c r="DT101" s="6">
        <f t="shared" si="51"/>
        <v>9.8048698144308187E-3</v>
      </c>
      <c r="DU101" s="6">
        <f t="shared" si="51"/>
        <v>1.2590575363670255E-2</v>
      </c>
      <c r="DV101" s="6">
        <f t="shared" si="51"/>
        <v>2.0832196903833467E-2</v>
      </c>
      <c r="DW101" s="6">
        <f t="shared" si="51"/>
        <v>3.8101103768991201E-2</v>
      </c>
      <c r="DX101" s="6">
        <f t="shared" si="62"/>
        <v>7.1880488934045098E-2</v>
      </c>
      <c r="DY101" s="6">
        <f t="shared" si="62"/>
        <v>0.13680808597051858</v>
      </c>
      <c r="DZ101" s="6">
        <f t="shared" si="62"/>
        <v>0.26101918692755011</v>
      </c>
      <c r="EA101" s="6">
        <f t="shared" si="62"/>
        <v>0.49833860221985338</v>
      </c>
      <c r="EB101" s="6">
        <f t="shared" si="62"/>
        <v>0.95160474514075966</v>
      </c>
      <c r="EC101" s="6">
        <f t="shared" si="62"/>
        <v>1.8172329442893282</v>
      </c>
      <c r="ED101" s="6">
        <f t="shared" si="62"/>
        <v>3.4703287526299396</v>
      </c>
      <c r="EE101" s="6">
        <f t="shared" si="62"/>
        <v>6.6272336871101922</v>
      </c>
      <c r="EF101" s="6">
        <f t="shared" si="62"/>
        <v>12.655939886004861</v>
      </c>
      <c r="EG101" s="6">
        <f t="shared" si="62"/>
        <v>24.168886702168308</v>
      </c>
      <c r="EH101" s="6">
        <f t="shared" si="62"/>
        <v>46.155017755938026</v>
      </c>
    </row>
    <row r="102" spans="5:138">
      <c r="E102" s="26"/>
      <c r="F102" s="4">
        <v>6.6666666666666671E-3</v>
      </c>
      <c r="G102" s="6">
        <f t="shared" si="40"/>
        <v>300</v>
      </c>
      <c r="H102" s="6">
        <f t="shared" si="53"/>
        <v>157.09377165338856</v>
      </c>
      <c r="I102" s="6">
        <f t="shared" si="53"/>
        <v>82.261511023245447</v>
      </c>
      <c r="J102" s="6">
        <f t="shared" si="53"/>
        <v>43.075905169842073</v>
      </c>
      <c r="K102" s="6">
        <f t="shared" si="53"/>
        <v>22.556524890036926</v>
      </c>
      <c r="L102" s="6">
        <f t="shared" si="53"/>
        <v>11.811638729247786</v>
      </c>
      <c r="M102" s="6">
        <f t="shared" si="53"/>
        <v>6.185129351132689</v>
      </c>
      <c r="N102" s="6">
        <f t="shared" si="53"/>
        <v>3.2388426918417643</v>
      </c>
      <c r="O102" s="6">
        <f t="shared" si="53"/>
        <v>1.6960545323489358</v>
      </c>
      <c r="P102" s="6">
        <f t="shared" si="53"/>
        <v>0.88822333687397981</v>
      </c>
      <c r="Q102" s="6">
        <f t="shared" si="54"/>
        <v>0.46528892071108174</v>
      </c>
      <c r="R102" s="6">
        <f t="shared" si="54"/>
        <v>0.24397970352298565</v>
      </c>
      <c r="S102" s="6">
        <f t="shared" si="54"/>
        <v>0.12839502452818347</v>
      </c>
      <c r="T102" s="6">
        <f t="shared" si="54"/>
        <v>6.8448189495594031E-2</v>
      </c>
      <c r="U102" s="6">
        <f t="shared" si="54"/>
        <v>3.8162236577762063E-2</v>
      </c>
      <c r="V102" s="6">
        <f t="shared" si="54"/>
        <v>2.441325284362697E-2</v>
      </c>
      <c r="W102" s="6">
        <f t="shared" si="54"/>
        <v>2.1243345341730228E-2</v>
      </c>
      <c r="X102" s="6">
        <f t="shared" si="54"/>
        <v>2.7278887487916591E-2</v>
      </c>
      <c r="Y102" s="6">
        <f t="shared" si="54"/>
        <v>4.5135280878866799E-2</v>
      </c>
      <c r="Z102" s="6">
        <f t="shared" si="54"/>
        <v>8.2550295983992661E-2</v>
      </c>
      <c r="AA102" s="6">
        <f t="shared" si="54"/>
        <v>0.15573710601551527</v>
      </c>
      <c r="AB102" s="6">
        <f t="shared" si="54"/>
        <v>0.296409995320428</v>
      </c>
      <c r="AC102" s="6">
        <f t="shared" si="54"/>
        <v>0.56552721593085953</v>
      </c>
      <c r="AD102" s="6">
        <f t="shared" si="54"/>
        <v>1.07970623011133</v>
      </c>
      <c r="AE102" s="6">
        <f t="shared" si="54"/>
        <v>2.0617579440067102</v>
      </c>
      <c r="AF102" s="6">
        <f t="shared" si="54"/>
        <v>3.937238100304997</v>
      </c>
      <c r="AG102" s="6">
        <f t="shared" si="54"/>
        <v>7.5188547667354513</v>
      </c>
      <c r="AH102" s="6">
        <f t="shared" si="54"/>
        <v>14.358641832084604</v>
      </c>
      <c r="AI102" s="6">
        <f t="shared" si="54"/>
        <v>27.420507024670414</v>
      </c>
      <c r="AJ102" s="6">
        <f t="shared" si="54"/>
        <v>52.364591927946748</v>
      </c>
      <c r="AK102" s="6">
        <f t="shared" si="42"/>
        <v>100</v>
      </c>
      <c r="AL102" s="24"/>
      <c r="AM102" s="4">
        <v>6.6666666666666671E-3</v>
      </c>
      <c r="AN102" s="6">
        <f t="shared" si="59"/>
        <v>-538200000</v>
      </c>
      <c r="AO102" s="6">
        <f t="shared" si="59"/>
        <v>-281826226.34617907</v>
      </c>
      <c r="AP102" s="6">
        <f t="shared" si="59"/>
        <v>-147577150.77570233</v>
      </c>
      <c r="AQ102" s="6">
        <f t="shared" si="59"/>
        <v>-77278173.874696672</v>
      </c>
      <c r="AR102" s="6">
        <f t="shared" si="59"/>
        <v>-40466405.65272624</v>
      </c>
      <c r="AS102" s="6">
        <f t="shared" si="59"/>
        <v>-21190079.880270526</v>
      </c>
      <c r="AT102" s="6">
        <f t="shared" si="59"/>
        <v>-11096122.055932045</v>
      </c>
      <c r="AU102" s="6">
        <f t="shared" si="56"/>
        <v>-5810483.7891641241</v>
      </c>
      <c r="AV102" s="6">
        <f t="shared" si="56"/>
        <v>-3042721.8310339907</v>
      </c>
      <c r="AW102" s="6">
        <f t="shared" si="56"/>
        <v>-1593472.6663519195</v>
      </c>
      <c r="AX102" s="6">
        <f t="shared" si="56"/>
        <v>-834728.32375568047</v>
      </c>
      <c r="AY102" s="6">
        <f t="shared" si="56"/>
        <v>-437699.58812023624</v>
      </c>
      <c r="AZ102" s="6">
        <f t="shared" si="56"/>
        <v>-230340.67400356109</v>
      </c>
      <c r="BA102" s="6">
        <f t="shared" si="56"/>
        <v>-122796.0519550957</v>
      </c>
      <c r="BB102" s="6">
        <f t="shared" si="56"/>
        <v>-68463.052420505119</v>
      </c>
      <c r="BC102" s="6">
        <f t="shared" si="56"/>
        <v>-43797.375601466774</v>
      </c>
      <c r="BD102" s="6">
        <f t="shared" si="56"/>
        <v>-38110.561543064025</v>
      </c>
      <c r="BE102" s="6">
        <f t="shared" si="56"/>
        <v>-48938.324153322355</v>
      </c>
      <c r="BF102" s="6">
        <f t="shared" si="56"/>
        <v>-80972.693896687037</v>
      </c>
      <c r="BG102" s="6">
        <f t="shared" si="56"/>
        <v>-148095.23099528282</v>
      </c>
      <c r="BH102" s="6">
        <f t="shared" si="56"/>
        <v>-279392.36819183442</v>
      </c>
      <c r="BI102" s="6">
        <f t="shared" si="56"/>
        <v>-531759.53160484775</v>
      </c>
      <c r="BJ102" s="6">
        <f t="shared" si="56"/>
        <v>-1014555.8253799618</v>
      </c>
      <c r="BK102" s="6">
        <f t="shared" si="60"/>
        <v>-1936992.9768197257</v>
      </c>
      <c r="BL102" s="6">
        <f t="shared" si="60"/>
        <v>-3698793.7515480374</v>
      </c>
      <c r="BM102" s="6">
        <f t="shared" si="60"/>
        <v>-7063405.1519471649</v>
      </c>
      <c r="BN102" s="6">
        <f t="shared" si="60"/>
        <v>-13488825.451523397</v>
      </c>
      <c r="BO102" s="6">
        <f t="shared" si="60"/>
        <v>-25759403.446759775</v>
      </c>
      <c r="BP102" s="6">
        <f t="shared" si="60"/>
        <v>-49192389.60225872</v>
      </c>
      <c r="BQ102" s="6">
        <f t="shared" si="60"/>
        <v>-93942077.918736458</v>
      </c>
      <c r="BR102" s="6">
        <f t="shared" si="60"/>
        <v>-179400000</v>
      </c>
      <c r="BT102" s="24"/>
      <c r="BU102" s="4">
        <v>6.6666666666666671E-3</v>
      </c>
      <c r="BV102" s="6">
        <f t="shared" si="57"/>
        <v>0.5761500669941938</v>
      </c>
      <c r="BW102" s="6">
        <f t="shared" si="57"/>
        <v>0.5761500669941938</v>
      </c>
      <c r="BX102" s="6">
        <f t="shared" si="57"/>
        <v>0.5761500669941938</v>
      </c>
      <c r="BY102" s="6">
        <f t="shared" si="57"/>
        <v>0.5761500669941938</v>
      </c>
      <c r="BZ102" s="6">
        <f t="shared" si="57"/>
        <v>0.5761500669941938</v>
      </c>
      <c r="CA102" s="6">
        <f t="shared" si="57"/>
        <v>0.5761500669941938</v>
      </c>
      <c r="CB102" s="6">
        <f t="shared" si="57"/>
        <v>0.5761500669941938</v>
      </c>
      <c r="CC102" s="6">
        <f t="shared" si="57"/>
        <v>0.5761500669941938</v>
      </c>
      <c r="CD102" s="6">
        <f t="shared" si="57"/>
        <v>0.5761500669941938</v>
      </c>
      <c r="CE102" s="6">
        <f t="shared" si="57"/>
        <v>0.5761500669941938</v>
      </c>
      <c r="CF102" s="6">
        <f t="shared" si="57"/>
        <v>0.5761500669941938</v>
      </c>
      <c r="CG102" s="6">
        <f t="shared" si="57"/>
        <v>0.5761500669941938</v>
      </c>
      <c r="CH102" s="6">
        <f t="shared" si="57"/>
        <v>0.5761500669941938</v>
      </c>
      <c r="CI102" s="6">
        <f t="shared" si="57"/>
        <v>0.5761500669941938</v>
      </c>
      <c r="CJ102" s="6">
        <f t="shared" si="57"/>
        <v>0.5761500669941938</v>
      </c>
      <c r="CK102" s="6">
        <f t="shared" si="55"/>
        <v>0.5761500669941938</v>
      </c>
      <c r="CL102" s="6">
        <f t="shared" si="50"/>
        <v>0.5761500669941938</v>
      </c>
      <c r="CM102" s="6">
        <f t="shared" si="50"/>
        <v>0.5761500669941938</v>
      </c>
      <c r="CN102" s="6">
        <f t="shared" si="50"/>
        <v>0.5761500669941938</v>
      </c>
      <c r="CO102" s="6">
        <f t="shared" si="50"/>
        <v>0.5761500669941938</v>
      </c>
      <c r="CP102" s="6">
        <f t="shared" si="50"/>
        <v>0.5761500669941938</v>
      </c>
      <c r="CQ102" s="6">
        <f t="shared" si="50"/>
        <v>0.5761500669941938</v>
      </c>
      <c r="CR102" s="6">
        <f t="shared" si="50"/>
        <v>0.5761500669941938</v>
      </c>
      <c r="CS102" s="6">
        <f t="shared" si="50"/>
        <v>0.5761500669941938</v>
      </c>
      <c r="CT102" s="6">
        <f t="shared" si="50"/>
        <v>0.5761500669941938</v>
      </c>
      <c r="CU102" s="6">
        <f t="shared" si="48"/>
        <v>0.5761500669941938</v>
      </c>
      <c r="CV102" s="6">
        <f t="shared" si="48"/>
        <v>0.5761500669941938</v>
      </c>
      <c r="CW102" s="6">
        <f t="shared" si="48"/>
        <v>0.5761500669941938</v>
      </c>
      <c r="CX102" s="6">
        <f t="shared" si="48"/>
        <v>0.5761500669941938</v>
      </c>
      <c r="CY102" s="6">
        <f t="shared" si="48"/>
        <v>0.5761500669941938</v>
      </c>
      <c r="CZ102" s="6">
        <f t="shared" si="48"/>
        <v>0.5761500669941938</v>
      </c>
      <c r="DB102" s="24"/>
      <c r="DC102" s="4">
        <v>6.6666666666666671E-3</v>
      </c>
      <c r="DD102" s="6">
        <f t="shared" si="61"/>
        <v>127.15497990174188</v>
      </c>
      <c r="DE102" s="6">
        <f t="shared" si="61"/>
        <v>66.58418459091817</v>
      </c>
      <c r="DF102" s="6">
        <f t="shared" si="61"/>
        <v>34.866535936158968</v>
      </c>
      <c r="DG102" s="6">
        <f t="shared" si="61"/>
        <v>18.257719520402024</v>
      </c>
      <c r="DH102" s="6">
        <f t="shared" si="61"/>
        <v>9.5605815634859503</v>
      </c>
      <c r="DI102" s="6">
        <f t="shared" si="61"/>
        <v>5.0063622840804598</v>
      </c>
      <c r="DJ102" s="6">
        <f t="shared" si="61"/>
        <v>2.6215666611098358</v>
      </c>
      <c r="DK102" s="6">
        <f t="shared" si="58"/>
        <v>1.3727832579534767</v>
      </c>
      <c r="DL102" s="6">
        <f t="shared" si="58"/>
        <v>0.7188725999102904</v>
      </c>
      <c r="DM102" s="6">
        <f t="shared" si="58"/>
        <v>0.37647340182822997</v>
      </c>
      <c r="DN102" s="6">
        <f t="shared" si="58"/>
        <v>0.19721267787173583</v>
      </c>
      <c r="DO102" s="6">
        <f t="shared" si="58"/>
        <v>0.10341078099299393</v>
      </c>
      <c r="DP102" s="6">
        <f t="shared" si="58"/>
        <v>5.4420222544549403E-2</v>
      </c>
      <c r="DQ102" s="6">
        <f t="shared" si="58"/>
        <v>2.9011760532076263E-2</v>
      </c>
      <c r="DR102" s="6">
        <f t="shared" si="58"/>
        <v>1.6175061416836174E-2</v>
      </c>
      <c r="DS102" s="6">
        <f t="shared" si="58"/>
        <v>1.0347555582225098E-2</v>
      </c>
      <c r="DT102" s="6">
        <f t="shared" si="51"/>
        <v>9.0039904999115617E-3</v>
      </c>
      <c r="DU102" s="6">
        <f t="shared" si="51"/>
        <v>1.1562154634226373E-2</v>
      </c>
      <c r="DV102" s="6">
        <f t="shared" si="51"/>
        <v>1.9130585776705938E-2</v>
      </c>
      <c r="DW102" s="6">
        <f t="shared" si="51"/>
        <v>3.498893742242476E-2</v>
      </c>
      <c r="DX102" s="6">
        <f t="shared" si="62"/>
        <v>6.6009161951194301E-2</v>
      </c>
      <c r="DY102" s="6">
        <f t="shared" si="62"/>
        <v>0.12563335665881473</v>
      </c>
      <c r="DZ102" s="6">
        <f t="shared" si="62"/>
        <v>0.23969867258525487</v>
      </c>
      <c r="EA102" s="6">
        <f t="shared" si="62"/>
        <v>0.45763341329863882</v>
      </c>
      <c r="EB102" s="6">
        <f t="shared" si="62"/>
        <v>0.87387596644143273</v>
      </c>
      <c r="EC102" s="6">
        <f t="shared" si="62"/>
        <v>1.6687981050421807</v>
      </c>
      <c r="ED102" s="6">
        <f t="shared" si="62"/>
        <v>3.1868660891612075</v>
      </c>
      <c r="EE102" s="6">
        <f t="shared" si="62"/>
        <v>6.085909378583426</v>
      </c>
      <c r="EF102" s="6">
        <f t="shared" si="62"/>
        <v>11.622180065391793</v>
      </c>
      <c r="EG102" s="6">
        <f t="shared" si="62"/>
        <v>22.194728780536607</v>
      </c>
      <c r="EH102" s="6">
        <f t="shared" si="62"/>
        <v>42.384993300580625</v>
      </c>
    </row>
    <row r="103" spans="5:138">
      <c r="E103" s="26"/>
      <c r="F103" s="4">
        <v>3.3333333333333335E-3</v>
      </c>
      <c r="G103" s="6">
        <f t="shared" si="40"/>
        <v>300</v>
      </c>
      <c r="H103" s="6">
        <f t="shared" si="53"/>
        <v>157.09377165338856</v>
      </c>
      <c r="I103" s="6">
        <f t="shared" si="53"/>
        <v>82.261511023245447</v>
      </c>
      <c r="J103" s="6">
        <f t="shared" si="53"/>
        <v>43.075905169842073</v>
      </c>
      <c r="K103" s="6">
        <f t="shared" si="53"/>
        <v>22.556524890036922</v>
      </c>
      <c r="L103" s="6">
        <f t="shared" si="53"/>
        <v>11.811638729247786</v>
      </c>
      <c r="M103" s="6">
        <f t="shared" si="53"/>
        <v>6.185129351132689</v>
      </c>
      <c r="N103" s="6">
        <f t="shared" si="53"/>
        <v>3.2388426918417643</v>
      </c>
      <c r="O103" s="6">
        <f t="shared" si="53"/>
        <v>1.6960545323489358</v>
      </c>
      <c r="P103" s="6">
        <f t="shared" si="53"/>
        <v>0.88822333687397981</v>
      </c>
      <c r="Q103" s="6">
        <f t="shared" si="54"/>
        <v>0.46528892071108163</v>
      </c>
      <c r="R103" s="6">
        <f t="shared" si="54"/>
        <v>0.24397970352298565</v>
      </c>
      <c r="S103" s="6">
        <f t="shared" si="54"/>
        <v>0.12839502452818347</v>
      </c>
      <c r="T103" s="6">
        <f t="shared" si="54"/>
        <v>6.8448189495594031E-2</v>
      </c>
      <c r="U103" s="6">
        <f t="shared" si="54"/>
        <v>3.8162236577762056E-2</v>
      </c>
      <c r="V103" s="6">
        <f t="shared" si="54"/>
        <v>2.4413252843626967E-2</v>
      </c>
      <c r="W103" s="6">
        <f t="shared" si="54"/>
        <v>2.1243345341730224E-2</v>
      </c>
      <c r="X103" s="6">
        <f t="shared" si="54"/>
        <v>2.7278887487916591E-2</v>
      </c>
      <c r="Y103" s="6">
        <f t="shared" si="54"/>
        <v>4.5135280878866799E-2</v>
      </c>
      <c r="Z103" s="6">
        <f t="shared" si="54"/>
        <v>8.2550295983992661E-2</v>
      </c>
      <c r="AA103" s="6">
        <f t="shared" si="54"/>
        <v>0.15573710601551527</v>
      </c>
      <c r="AB103" s="6">
        <f t="shared" si="54"/>
        <v>0.296409995320428</v>
      </c>
      <c r="AC103" s="6">
        <f t="shared" si="54"/>
        <v>0.56552721593085942</v>
      </c>
      <c r="AD103" s="6">
        <f t="shared" si="54"/>
        <v>1.0797062301113298</v>
      </c>
      <c r="AE103" s="6">
        <f t="shared" si="54"/>
        <v>2.0617579440067102</v>
      </c>
      <c r="AF103" s="6">
        <f t="shared" si="54"/>
        <v>3.937238100304997</v>
      </c>
      <c r="AG103" s="6">
        <f t="shared" si="54"/>
        <v>7.5188547667354513</v>
      </c>
      <c r="AH103" s="6">
        <f t="shared" si="54"/>
        <v>14.358641832084603</v>
      </c>
      <c r="AI103" s="6">
        <f t="shared" si="54"/>
        <v>27.420507024670414</v>
      </c>
      <c r="AJ103" s="6">
        <f t="shared" si="54"/>
        <v>52.364591927946741</v>
      </c>
      <c r="AK103" s="6">
        <f t="shared" si="42"/>
        <v>100</v>
      </c>
      <c r="AL103" s="24"/>
      <c r="AM103" s="4">
        <v>3.3333333333333335E-3</v>
      </c>
      <c r="AN103" s="6">
        <f t="shared" si="59"/>
        <v>-538200000</v>
      </c>
      <c r="AO103" s="6">
        <f t="shared" si="59"/>
        <v>-281826226.34617907</v>
      </c>
      <c r="AP103" s="6">
        <f t="shared" si="59"/>
        <v>-147577150.77570233</v>
      </c>
      <c r="AQ103" s="6">
        <f t="shared" si="59"/>
        <v>-77278173.874696672</v>
      </c>
      <c r="AR103" s="6">
        <f t="shared" si="59"/>
        <v>-40466405.65272624</v>
      </c>
      <c r="AS103" s="6">
        <f t="shared" si="59"/>
        <v>-21190079.880270526</v>
      </c>
      <c r="AT103" s="6">
        <f t="shared" si="59"/>
        <v>-11096122.055932045</v>
      </c>
      <c r="AU103" s="6">
        <f t="shared" si="56"/>
        <v>-5810483.7891641241</v>
      </c>
      <c r="AV103" s="6">
        <f t="shared" si="56"/>
        <v>-3042721.8310339907</v>
      </c>
      <c r="AW103" s="6">
        <f t="shared" si="56"/>
        <v>-1593472.6663519195</v>
      </c>
      <c r="AX103" s="6">
        <f t="shared" si="56"/>
        <v>-834728.32375568047</v>
      </c>
      <c r="AY103" s="6">
        <f t="shared" si="56"/>
        <v>-437699.58812023624</v>
      </c>
      <c r="AZ103" s="6">
        <f t="shared" si="56"/>
        <v>-230340.67400356109</v>
      </c>
      <c r="BA103" s="6">
        <f t="shared" si="56"/>
        <v>-122796.0519550957</v>
      </c>
      <c r="BB103" s="6">
        <f t="shared" si="56"/>
        <v>-68463.052420505119</v>
      </c>
      <c r="BC103" s="6">
        <f t="shared" si="56"/>
        <v>-43797.375601466774</v>
      </c>
      <c r="BD103" s="6">
        <f t="shared" si="56"/>
        <v>-38110.561543064025</v>
      </c>
      <c r="BE103" s="6">
        <f t="shared" si="56"/>
        <v>-48938.324153322355</v>
      </c>
      <c r="BF103" s="6">
        <f t="shared" si="56"/>
        <v>-80972.693896687037</v>
      </c>
      <c r="BG103" s="6">
        <f t="shared" si="56"/>
        <v>-148095.23099528282</v>
      </c>
      <c r="BH103" s="6">
        <f t="shared" si="56"/>
        <v>-279392.36819183442</v>
      </c>
      <c r="BI103" s="6">
        <f t="shared" si="56"/>
        <v>-531759.53160484775</v>
      </c>
      <c r="BJ103" s="6">
        <f t="shared" si="56"/>
        <v>-1014555.8253799618</v>
      </c>
      <c r="BK103" s="6">
        <f t="shared" si="60"/>
        <v>-1936992.9768197257</v>
      </c>
      <c r="BL103" s="6">
        <f t="shared" si="60"/>
        <v>-3698793.7515480374</v>
      </c>
      <c r="BM103" s="6">
        <f t="shared" si="60"/>
        <v>-7063405.1519471649</v>
      </c>
      <c r="BN103" s="6">
        <f t="shared" si="60"/>
        <v>-13488825.451523397</v>
      </c>
      <c r="BO103" s="6">
        <f t="shared" si="60"/>
        <v>-25759403.446759775</v>
      </c>
      <c r="BP103" s="6">
        <f t="shared" si="60"/>
        <v>-49192389.60225872</v>
      </c>
      <c r="BQ103" s="6">
        <f t="shared" si="60"/>
        <v>-93942077.918736458</v>
      </c>
      <c r="BR103" s="6">
        <f t="shared" si="60"/>
        <v>-179400000</v>
      </c>
      <c r="BT103" s="24"/>
      <c r="BU103" s="4">
        <v>3.3333333333333335E-3</v>
      </c>
      <c r="BV103" s="6">
        <f t="shared" si="57"/>
        <v>0.69767441860465107</v>
      </c>
      <c r="BW103" s="6">
        <f t="shared" si="57"/>
        <v>0.69767441860465107</v>
      </c>
      <c r="BX103" s="6">
        <f t="shared" si="57"/>
        <v>0.69767441860465107</v>
      </c>
      <c r="BY103" s="6">
        <f t="shared" si="57"/>
        <v>0.69767441860465107</v>
      </c>
      <c r="BZ103" s="6">
        <f t="shared" si="57"/>
        <v>0.69767441860465107</v>
      </c>
      <c r="CA103" s="6">
        <f t="shared" si="57"/>
        <v>0.69767441860465107</v>
      </c>
      <c r="CB103" s="6">
        <f t="shared" si="57"/>
        <v>0.69767441860465107</v>
      </c>
      <c r="CC103" s="6">
        <f t="shared" si="57"/>
        <v>0.69767441860465107</v>
      </c>
      <c r="CD103" s="6">
        <f t="shared" si="57"/>
        <v>0.69767441860465107</v>
      </c>
      <c r="CE103" s="6">
        <f t="shared" si="57"/>
        <v>0.69767441860465107</v>
      </c>
      <c r="CF103" s="6">
        <f t="shared" si="57"/>
        <v>0.69767441860465107</v>
      </c>
      <c r="CG103" s="6">
        <f t="shared" si="57"/>
        <v>0.69767441860465107</v>
      </c>
      <c r="CH103" s="6">
        <f t="shared" si="57"/>
        <v>0.69767441860465107</v>
      </c>
      <c r="CI103" s="6">
        <f t="shared" si="57"/>
        <v>0.69767441860465107</v>
      </c>
      <c r="CJ103" s="6">
        <f t="shared" si="57"/>
        <v>0.69767441860465107</v>
      </c>
      <c r="CK103" s="6">
        <f t="shared" si="55"/>
        <v>0.69767441860465107</v>
      </c>
      <c r="CL103" s="6">
        <f t="shared" si="50"/>
        <v>0.69767441860465107</v>
      </c>
      <c r="CM103" s="6">
        <f t="shared" si="50"/>
        <v>0.69767441860465107</v>
      </c>
      <c r="CN103" s="6">
        <f t="shared" si="50"/>
        <v>0.69767441860465107</v>
      </c>
      <c r="CO103" s="6">
        <f t="shared" si="50"/>
        <v>0.69767441860465107</v>
      </c>
      <c r="CP103" s="6">
        <f t="shared" si="50"/>
        <v>0.69767441860465107</v>
      </c>
      <c r="CQ103" s="6">
        <f t="shared" si="50"/>
        <v>0.69767441860465107</v>
      </c>
      <c r="CR103" s="6">
        <f t="shared" si="50"/>
        <v>0.69767441860465107</v>
      </c>
      <c r="CS103" s="6">
        <f t="shared" si="50"/>
        <v>0.69767441860465107</v>
      </c>
      <c r="CT103" s="6">
        <f t="shared" si="50"/>
        <v>0.69767441860465107</v>
      </c>
      <c r="CU103" s="6">
        <f t="shared" si="48"/>
        <v>0.69767441860465107</v>
      </c>
      <c r="CV103" s="6">
        <f t="shared" si="48"/>
        <v>0.69767441860465107</v>
      </c>
      <c r="CW103" s="6">
        <f t="shared" si="48"/>
        <v>0.69767441860465107</v>
      </c>
      <c r="CX103" s="6">
        <f t="shared" si="48"/>
        <v>0.69767441860465107</v>
      </c>
      <c r="CY103" s="6">
        <f t="shared" si="48"/>
        <v>0.69767441860465107</v>
      </c>
      <c r="CZ103" s="6">
        <f t="shared" si="48"/>
        <v>0.69767441860465107</v>
      </c>
      <c r="DB103" s="24"/>
      <c r="DC103" s="4">
        <v>3.3333333333333335E-3</v>
      </c>
      <c r="DD103" s="6">
        <f t="shared" si="61"/>
        <v>90.697674418604663</v>
      </c>
      <c r="DE103" s="6">
        <f t="shared" si="61"/>
        <v>47.493465848698875</v>
      </c>
      <c r="DF103" s="6">
        <f t="shared" si="61"/>
        <v>24.869759146562579</v>
      </c>
      <c r="DG103" s="6">
        <f t="shared" si="61"/>
        <v>13.022948074603418</v>
      </c>
      <c r="DH103" s="6">
        <f t="shared" si="61"/>
        <v>6.8194145016390708</v>
      </c>
      <c r="DI103" s="6">
        <f t="shared" si="61"/>
        <v>3.5709605460516562</v>
      </c>
      <c r="DJ103" s="6">
        <f t="shared" si="61"/>
        <v>1.8699228270866273</v>
      </c>
      <c r="DK103" s="6">
        <f t="shared" si="58"/>
        <v>0.97918499985913798</v>
      </c>
      <c r="DL103" s="6">
        <f t="shared" si="58"/>
        <v>0.51276067257060853</v>
      </c>
      <c r="DM103" s="6">
        <f t="shared" si="58"/>
        <v>0.26853263672934274</v>
      </c>
      <c r="DN103" s="6">
        <f t="shared" si="58"/>
        <v>0.14066874347079214</v>
      </c>
      <c r="DO103" s="6">
        <f t="shared" si="58"/>
        <v>7.3761305716251488E-2</v>
      </c>
      <c r="DP103" s="6">
        <f t="shared" si="58"/>
        <v>3.8817100438753138E-2</v>
      </c>
      <c r="DQ103" s="6">
        <f t="shared" si="58"/>
        <v>2.069363868471448E-2</v>
      </c>
      <c r="DR103" s="6">
        <f t="shared" si="58"/>
        <v>1.1537420360718762E-2</v>
      </c>
      <c r="DS103" s="6">
        <f t="shared" si="58"/>
        <v>7.3807508597011767E-3</v>
      </c>
      <c r="DT103" s="6">
        <f t="shared" si="51"/>
        <v>6.4224067312207665E-3</v>
      </c>
      <c r="DU103" s="6">
        <f t="shared" si="51"/>
        <v>8.2471055196026901E-3</v>
      </c>
      <c r="DV103" s="6">
        <f t="shared" si="51"/>
        <v>1.3645550033145779E-2</v>
      </c>
      <c r="DW103" s="6">
        <f t="shared" si="51"/>
        <v>2.4957066227718712E-2</v>
      </c>
      <c r="DX103" s="6">
        <f t="shared" si="62"/>
        <v>4.7083311120969744E-2</v>
      </c>
      <c r="DY103" s="6">
        <f t="shared" si="62"/>
        <v>8.9612324166641028E-2</v>
      </c>
      <c r="DZ103" s="6">
        <f t="shared" si="62"/>
        <v>0.17097334435119008</v>
      </c>
      <c r="EA103" s="6">
        <f t="shared" si="62"/>
        <v>0.32642281375458815</v>
      </c>
      <c r="EB103" s="6">
        <f t="shared" si="62"/>
        <v>0.62332216911830773</v>
      </c>
      <c r="EC103" s="6">
        <f t="shared" si="62"/>
        <v>1.1903277977666273</v>
      </c>
      <c r="ED103" s="6">
        <f t="shared" si="62"/>
        <v>2.2731421387804853</v>
      </c>
      <c r="EE103" s="6">
        <f t="shared" si="62"/>
        <v>4.340984739932555</v>
      </c>
      <c r="EF103" s="6">
        <f t="shared" si="62"/>
        <v>8.2899207283887311</v>
      </c>
      <c r="EG103" s="6">
        <f t="shared" si="62"/>
        <v>15.831155699146692</v>
      </c>
      <c r="EH103" s="6">
        <f t="shared" si="62"/>
        <v>30.232558139534888</v>
      </c>
    </row>
    <row r="104" spans="5:138">
      <c r="E104" s="26"/>
      <c r="F104" s="4">
        <v>0</v>
      </c>
      <c r="G104" s="6">
        <f t="shared" si="40"/>
        <v>300</v>
      </c>
      <c r="H104" s="6">
        <f t="shared" si="53"/>
        <v>157.09377165338856</v>
      </c>
      <c r="I104" s="6">
        <f t="shared" si="53"/>
        <v>82.261511023245447</v>
      </c>
      <c r="J104" s="6">
        <f t="shared" si="53"/>
        <v>43.075905169842073</v>
      </c>
      <c r="K104" s="6">
        <f t="shared" si="53"/>
        <v>22.556524890036922</v>
      </c>
      <c r="L104" s="6">
        <f t="shared" si="53"/>
        <v>11.811638729247786</v>
      </c>
      <c r="M104" s="6">
        <f t="shared" si="53"/>
        <v>6.185129351132689</v>
      </c>
      <c r="N104" s="6">
        <f t="shared" si="53"/>
        <v>3.2388426918417643</v>
      </c>
      <c r="O104" s="6">
        <f t="shared" si="53"/>
        <v>1.6960545323489358</v>
      </c>
      <c r="P104" s="6">
        <f t="shared" si="53"/>
        <v>0.88822333687397981</v>
      </c>
      <c r="Q104" s="6">
        <f t="shared" si="54"/>
        <v>0.46528892071108163</v>
      </c>
      <c r="R104" s="6">
        <f t="shared" si="54"/>
        <v>0.24397970352298565</v>
      </c>
      <c r="S104" s="6">
        <f t="shared" si="54"/>
        <v>0.12839502452818347</v>
      </c>
      <c r="T104" s="6">
        <f t="shared" si="54"/>
        <v>6.8448189495594031E-2</v>
      </c>
      <c r="U104" s="6">
        <f t="shared" si="54"/>
        <v>3.8162236577762056E-2</v>
      </c>
      <c r="V104" s="6">
        <f t="shared" si="54"/>
        <v>2.4413252843626967E-2</v>
      </c>
      <c r="W104" s="6">
        <f t="shared" si="54"/>
        <v>2.1243345341730224E-2</v>
      </c>
      <c r="X104" s="6">
        <f t="shared" si="54"/>
        <v>2.7278887487916591E-2</v>
      </c>
      <c r="Y104" s="6">
        <f t="shared" si="54"/>
        <v>4.5135280878866799E-2</v>
      </c>
      <c r="Z104" s="6">
        <f t="shared" si="54"/>
        <v>8.2550295983992661E-2</v>
      </c>
      <c r="AA104" s="6">
        <f t="shared" si="54"/>
        <v>0.15573710601551527</v>
      </c>
      <c r="AB104" s="6">
        <f t="shared" si="54"/>
        <v>0.296409995320428</v>
      </c>
      <c r="AC104" s="6">
        <f t="shared" si="54"/>
        <v>0.56552721593085942</v>
      </c>
      <c r="AD104" s="6">
        <f t="shared" si="54"/>
        <v>1.0797062301113298</v>
      </c>
      <c r="AE104" s="6">
        <f t="shared" si="54"/>
        <v>2.0617579440067102</v>
      </c>
      <c r="AF104" s="6">
        <f t="shared" si="54"/>
        <v>3.937238100304997</v>
      </c>
      <c r="AG104" s="6">
        <f t="shared" si="54"/>
        <v>7.5188547667354513</v>
      </c>
      <c r="AH104" s="6">
        <f t="shared" si="54"/>
        <v>14.358641832084603</v>
      </c>
      <c r="AI104" s="6">
        <f t="shared" si="54"/>
        <v>27.420507024670414</v>
      </c>
      <c r="AJ104" s="6">
        <f t="shared" si="54"/>
        <v>52.364591927946741</v>
      </c>
      <c r="AK104" s="6">
        <f t="shared" si="42"/>
        <v>100</v>
      </c>
      <c r="AL104" s="24"/>
      <c r="AM104" s="4">
        <v>0</v>
      </c>
      <c r="AN104" s="6">
        <f t="shared" si="59"/>
        <v>-538200000</v>
      </c>
      <c r="AO104" s="6">
        <f t="shared" si="59"/>
        <v>-281826226.34617907</v>
      </c>
      <c r="AP104" s="6">
        <f t="shared" si="59"/>
        <v>-147577150.77570233</v>
      </c>
      <c r="AQ104" s="6">
        <f t="shared" si="59"/>
        <v>-77278173.874696672</v>
      </c>
      <c r="AR104" s="6">
        <f t="shared" si="59"/>
        <v>-40466405.65272624</v>
      </c>
      <c r="AS104" s="6">
        <f t="shared" si="59"/>
        <v>-21190079.880270526</v>
      </c>
      <c r="AT104" s="6">
        <f t="shared" si="59"/>
        <v>-11096122.055932045</v>
      </c>
      <c r="AU104" s="6">
        <f t="shared" si="56"/>
        <v>-5810483.7891641241</v>
      </c>
      <c r="AV104" s="6">
        <f t="shared" si="56"/>
        <v>-3042721.8310339907</v>
      </c>
      <c r="AW104" s="6">
        <f t="shared" si="56"/>
        <v>-1593472.6663519195</v>
      </c>
      <c r="AX104" s="6">
        <f t="shared" si="56"/>
        <v>-834728.32375568047</v>
      </c>
      <c r="AY104" s="6">
        <f t="shared" si="56"/>
        <v>-437699.58812023624</v>
      </c>
      <c r="AZ104" s="6">
        <f t="shared" si="56"/>
        <v>-230340.67400356109</v>
      </c>
      <c r="BA104" s="6">
        <f t="shared" si="56"/>
        <v>-122796.0519550957</v>
      </c>
      <c r="BB104" s="6">
        <f t="shared" si="56"/>
        <v>-68463.052420505119</v>
      </c>
      <c r="BC104" s="6">
        <f t="shared" si="56"/>
        <v>-43797.375601466774</v>
      </c>
      <c r="BD104" s="6">
        <f t="shared" si="56"/>
        <v>-38110.561543064025</v>
      </c>
      <c r="BE104" s="6">
        <f t="shared" si="56"/>
        <v>-48938.324153322355</v>
      </c>
      <c r="BF104" s="6">
        <f t="shared" si="56"/>
        <v>-80972.693896687037</v>
      </c>
      <c r="BG104" s="6">
        <f t="shared" si="56"/>
        <v>-148095.23099528282</v>
      </c>
      <c r="BH104" s="6">
        <f t="shared" si="56"/>
        <v>-279392.36819183442</v>
      </c>
      <c r="BI104" s="6">
        <f t="shared" si="56"/>
        <v>-531759.53160484775</v>
      </c>
      <c r="BJ104" s="6">
        <f t="shared" si="56"/>
        <v>-1014555.8253799618</v>
      </c>
      <c r="BK104" s="6">
        <f t="shared" si="60"/>
        <v>-1936992.9768197257</v>
      </c>
      <c r="BL104" s="6">
        <f t="shared" si="60"/>
        <v>-3698793.7515480374</v>
      </c>
      <c r="BM104" s="6">
        <f t="shared" si="60"/>
        <v>-7063405.1519471649</v>
      </c>
      <c r="BN104" s="6">
        <f t="shared" si="60"/>
        <v>-13488825.451523397</v>
      </c>
      <c r="BO104" s="6">
        <f t="shared" si="60"/>
        <v>-25759403.446759775</v>
      </c>
      <c r="BP104" s="6">
        <f t="shared" si="60"/>
        <v>-49192389.60225872</v>
      </c>
      <c r="BQ104" s="6">
        <f t="shared" si="60"/>
        <v>-93942077.918736458</v>
      </c>
      <c r="BR104" s="6">
        <f t="shared" si="60"/>
        <v>-179400000</v>
      </c>
      <c r="BT104" s="24"/>
      <c r="BU104" s="4">
        <v>0</v>
      </c>
      <c r="BV104" s="6">
        <v>1</v>
      </c>
      <c r="BW104" s="6">
        <v>1</v>
      </c>
      <c r="BX104" s="6">
        <v>1</v>
      </c>
      <c r="BY104" s="6">
        <v>1</v>
      </c>
      <c r="BZ104" s="6">
        <v>1</v>
      </c>
      <c r="CA104" s="6">
        <v>1</v>
      </c>
      <c r="CB104" s="6">
        <v>1</v>
      </c>
      <c r="CC104" s="6">
        <v>1</v>
      </c>
      <c r="CD104" s="6">
        <v>1</v>
      </c>
      <c r="CE104" s="6">
        <v>1</v>
      </c>
      <c r="CF104" s="6">
        <v>1</v>
      </c>
      <c r="CG104" s="6">
        <v>1</v>
      </c>
      <c r="CH104" s="6">
        <v>1</v>
      </c>
      <c r="CI104" s="6">
        <v>1</v>
      </c>
      <c r="CJ104" s="6">
        <v>1</v>
      </c>
      <c r="CK104" s="6">
        <v>1</v>
      </c>
      <c r="CL104" s="6">
        <v>1</v>
      </c>
      <c r="CM104" s="6">
        <v>1</v>
      </c>
      <c r="CN104" s="6">
        <v>1</v>
      </c>
      <c r="CO104" s="6">
        <v>1</v>
      </c>
      <c r="CP104" s="6">
        <v>1</v>
      </c>
      <c r="CQ104" s="6">
        <v>1</v>
      </c>
      <c r="CR104" s="6">
        <v>1</v>
      </c>
      <c r="CS104" s="6">
        <v>1</v>
      </c>
      <c r="CT104" s="6">
        <v>1</v>
      </c>
      <c r="CU104" s="6">
        <v>1</v>
      </c>
      <c r="CV104" s="6">
        <v>1</v>
      </c>
      <c r="CW104" s="6">
        <v>1</v>
      </c>
      <c r="CX104" s="6">
        <v>1</v>
      </c>
      <c r="CY104" s="6">
        <v>1</v>
      </c>
      <c r="CZ104" s="6">
        <v>1</v>
      </c>
      <c r="DB104" s="24"/>
      <c r="DC104" s="4">
        <v>0</v>
      </c>
      <c r="DD104" s="6">
        <v>0</v>
      </c>
      <c r="DE104" s="6">
        <v>0</v>
      </c>
      <c r="DF104" s="6">
        <v>0</v>
      </c>
      <c r="DG104" s="6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6">
        <v>0</v>
      </c>
      <c r="DO104" s="6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6">
        <v>0</v>
      </c>
      <c r="DW104" s="6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0</v>
      </c>
      <c r="EC104" s="6">
        <v>0</v>
      </c>
      <c r="ED104" s="6">
        <v>0</v>
      </c>
      <c r="EE104" s="6">
        <v>0</v>
      </c>
      <c r="EF104" s="6">
        <v>0</v>
      </c>
      <c r="EG104" s="6">
        <v>0</v>
      </c>
      <c r="EH104" s="6">
        <v>0</v>
      </c>
    </row>
    <row r="105" spans="5:138">
      <c r="AM105" s="10"/>
    </row>
    <row r="106" spans="5:138">
      <c r="AM106" s="10"/>
    </row>
    <row r="107" spans="5:138">
      <c r="AM107" s="10"/>
    </row>
    <row r="108" spans="5:138">
      <c r="AM108" s="10"/>
    </row>
    <row r="109" spans="5:138">
      <c r="AM109" s="10"/>
    </row>
    <row r="110" spans="5:138">
      <c r="AM110" s="10"/>
    </row>
    <row r="111" spans="5:138">
      <c r="AM111" s="10"/>
    </row>
    <row r="112" spans="5:138">
      <c r="AM112" s="10"/>
    </row>
    <row r="113" spans="39:39">
      <c r="AM113" s="10"/>
    </row>
    <row r="114" spans="39:39">
      <c r="AM114" s="10"/>
    </row>
    <row r="115" spans="39:39">
      <c r="AM115" s="10"/>
    </row>
    <row r="116" spans="39:39">
      <c r="AM116" s="10"/>
    </row>
    <row r="117" spans="39:39">
      <c r="AM117" s="10"/>
    </row>
    <row r="118" spans="39:39">
      <c r="AM118" s="10"/>
    </row>
    <row r="119" spans="39:39">
      <c r="AM119" s="10"/>
    </row>
    <row r="120" spans="39:39">
      <c r="AM120" s="10"/>
    </row>
    <row r="121" spans="39:39">
      <c r="AM121" s="10"/>
    </row>
    <row r="122" spans="39:39">
      <c r="AM122" s="10"/>
    </row>
    <row r="123" spans="39:39">
      <c r="AM123" s="10"/>
    </row>
    <row r="124" spans="39:39">
      <c r="AM124" s="10"/>
    </row>
    <row r="125" spans="39:39">
      <c r="AM125" s="10"/>
    </row>
    <row r="126" spans="39:39">
      <c r="AM126" s="10"/>
    </row>
    <row r="127" spans="39:39">
      <c r="AM127" s="10"/>
    </row>
    <row r="128" spans="39:39">
      <c r="AM128" s="10"/>
    </row>
    <row r="129" spans="39:39">
      <c r="AM129" s="10"/>
    </row>
    <row r="130" spans="39:39">
      <c r="AM130" s="10"/>
    </row>
    <row r="131" spans="39:39">
      <c r="AM131" s="10"/>
    </row>
    <row r="132" spans="39:39">
      <c r="AM132" s="10"/>
    </row>
    <row r="133" spans="39:39">
      <c r="AM133" s="10"/>
    </row>
    <row r="134" spans="39:39">
      <c r="AM134" s="10"/>
    </row>
    <row r="135" spans="39:39">
      <c r="AM135" s="10"/>
    </row>
    <row r="136" spans="39:39">
      <c r="AM136" s="10"/>
    </row>
    <row r="137" spans="39:39">
      <c r="AM137" s="10"/>
    </row>
    <row r="138" spans="39:39">
      <c r="AM138" s="10"/>
    </row>
    <row r="139" spans="39:39">
      <c r="AM139" s="10"/>
    </row>
    <row r="140" spans="39:39">
      <c r="AM140" s="10"/>
    </row>
    <row r="141" spans="39:39">
      <c r="AM141" s="10"/>
    </row>
    <row r="142" spans="39:39">
      <c r="AM142" s="10"/>
    </row>
    <row r="143" spans="39:39">
      <c r="AM143" s="10"/>
    </row>
    <row r="144" spans="39:39">
      <c r="AM144" s="10"/>
    </row>
    <row r="145" spans="39:39">
      <c r="AM145" s="10"/>
    </row>
    <row r="146" spans="39:39">
      <c r="AM146" s="10"/>
    </row>
    <row r="147" spans="39:39">
      <c r="AM147" s="10"/>
    </row>
    <row r="148" spans="39:39">
      <c r="AM148" s="10"/>
    </row>
    <row r="149" spans="39:39">
      <c r="AM149" s="10"/>
    </row>
    <row r="150" spans="39:39">
      <c r="AM150" s="10"/>
    </row>
    <row r="151" spans="39:39">
      <c r="AM151" s="10"/>
    </row>
    <row r="152" spans="39:39">
      <c r="AM152" s="10"/>
    </row>
    <row r="153" spans="39:39">
      <c r="AM153" s="10"/>
    </row>
    <row r="154" spans="39:39">
      <c r="AM154" s="10"/>
    </row>
    <row r="155" spans="39:39">
      <c r="AM155" s="10"/>
    </row>
    <row r="156" spans="39:39">
      <c r="AM156" s="10"/>
    </row>
    <row r="157" spans="39:39">
      <c r="AM157" s="10"/>
    </row>
    <row r="158" spans="39:39">
      <c r="AM158" s="10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10:B10"/>
    <mergeCell ref="A15:B15"/>
    <mergeCell ref="A19:B19"/>
    <mergeCell ref="A24:B24"/>
  </mergeCells>
  <conditionalFormatting sqref="G3:AK33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 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2021-04-01T13:16:41Z</dcterms:created>
  <dcterms:modified xsi:type="dcterms:W3CDTF">2021-04-18T14:06:30Z</dcterms:modified>
</cp:coreProperties>
</file>